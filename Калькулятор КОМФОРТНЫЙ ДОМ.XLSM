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Z:\Диана\Шаблоны для сайта\"/>
    </mc:Choice>
  </mc:AlternateContent>
  <bookViews>
    <workbookView xWindow="120" yWindow="180" windowWidth="9720" windowHeight="7260"/>
  </bookViews>
  <sheets>
    <sheet name="Рассчет" sheetId="9" r:id="rId1"/>
    <sheet name="График" sheetId="4" r:id="rId2"/>
    <sheet name="Информационный лист" sheetId="7" r:id="rId3"/>
  </sheets>
  <definedNames>
    <definedName name="n_1" localSheetId="2">{"","одинz","дваz","триz","четыреz","пятьz","шестьz","семьz","восемьz","девятьz"}</definedName>
    <definedName name="n_1">{"","одинz","дваz","триz","четыреz","пятьz","шестьz","семьz","восемьz","девятьz"}</definedName>
    <definedName name="n_2" localSheetId="2">{"десятьz","одиннадцатьz","двенадцатьz","тринадцатьz","четырнадцатьz","пятнадцатьz","шестнадцатьz","семнадцатьz","восемнадцатьz","девятнадцатьz"}</definedName>
    <definedName name="n_2">{"десятьz","одиннадцатьz","двенадцатьz","тринадцатьz","четырнадцатьz","пятнадцатьz","шестнадцатьz","семнадцатьz","восемнадцатьz","девятнадцатьz"}</definedName>
    <definedName name="n_3" localSheetId="2">{"";1;"двадцатьz";"тридцатьz";"сорокz";"пятьдесятz";"шестьдесятz";"семьдесятz";"восемьдесятz";"девяностоz"}</definedName>
    <definedName name="n_3">{"";1;"двадцатьz";"тридцатьz";"сорокz";"пятьдесятz";"шестьдесятz";"семьдесятz";"восемьдесятz";"девяностоz"}</definedName>
    <definedName name="n_4" localSheetId="2">{"","стоz","двестиz","тристаz","четырестаz","пятьсотz","шестьсотz","семьсотz","восемьсотz","девятьсотz"}</definedName>
    <definedName name="n_4">{"","стоz","двестиz","тристаz","четырестаz","пятьсотz","шестьсотz","семьсотz","восемьсотz","девятьсотz"}</definedName>
    <definedName name="n_5" localSheetId="2">{"","однаz","двеz","триz","четыреz","пятьz","шестьz","семьz","восемьz","девятьz"}</definedName>
    <definedName name="n_5">{"","однаz","двеz","триz","четыреz","пятьz","шестьz","семьz","восемьz","девятьz"}</definedName>
    <definedName name="n0">"000000000000"&amp;MID(1/2,2,1)&amp;"0#####"</definedName>
    <definedName name="n0x" localSheetId="2">IF('Информационный лист'!n_3=1,'Информационный лист'!n_2,'Информационный лист'!n_3&amp;'Информационный лист'!n_1)</definedName>
    <definedName name="n0x">IF(n_3=1,n_2,n_3&amp;n_1)</definedName>
    <definedName name="n1x" localSheetId="2">IF('Информационный лист'!n_3=1,'Информационный лист'!n_2,'Информационный лист'!n_3&amp;'Информационный лист'!n_5)</definedName>
    <definedName name="n1x">IF(n_3=1,n_2,n_3&amp;n_5)</definedName>
    <definedName name="SumKred">#REF!</definedName>
    <definedName name="summ">#REF!</definedName>
    <definedName name="summ_1">#REF!</definedName>
    <definedName name="wrn.Input._.Report." localSheetId="2" hidden="1">{"Income",#N/A,TRUE,"Income ";"Balance",#N/A,TRUE,"Balance";"Deposits by Client Type",#N/A,TRUE,"Deposits by Client";"Commitments and Contingencies",#N/A,TRUE,"Commitments";"Analysis of Interest",#N/A,TRUE,"Analysis of Inerest";"Liquidity Analysis",#N/A,TRUE,"Liquidity Analysis";"Investment Securities",#N/A,TRUE,"Investment Securities";"Miscellaneous",#N/A,TRUE,"Miscellaneous";"Changes in Equity Capital",#N/A,TRUE,"Changes in Equity";"Aging Analysis",#N/A,TRUE,"Aging Analysis";"Loans Receivable",#N/A,TRUE,"Loans Receivable";"Calculation of Risk Weighted Assets",#N/A,TRUE,"Calculation of Risk Weighted As";"Bank Capital Calculation",#N/A,TRUE,"Bank Capital Calc.";"Bank Asset Analysis",#N/A,TRUE,"Bank Assets Analysis";"Twenty Largest",#N/A,TRUE,"Twenty Largest";"Reconciliation",#N/A,TRUE,"Recociliation ";"Loans to Affiliated Persons",#N/A,TRUE,"Loans to Affiliated P.";"Loan Classification",#N/A,TRUE,"Loan Classification";"Bank Liabilities",#N/A,TRUE,"Bank Liabilities Analysis";"Charge Offs",#N/A,TRUE,"Charge-offs and Recoveries"}</definedName>
    <definedName name="wrn.Input._.Report." hidden="1">{"Income",#N/A,TRUE,"Income ";"Balance",#N/A,TRUE,"Balance";"Deposits by Client Type",#N/A,TRUE,"Deposits by Client";"Commitments and Contingencies",#N/A,TRUE,"Commitments";"Analysis of Interest",#N/A,TRUE,"Analysis of Inerest";"Liquidity Analysis",#N/A,TRUE,"Liquidity Analysis";"Investment Securities",#N/A,TRUE,"Investment Securities";"Miscellaneous",#N/A,TRUE,"Miscellaneous";"Changes in Equity Capital",#N/A,TRUE,"Changes in Equity";"Aging Analysis",#N/A,TRUE,"Aging Analysis";"Loans Receivable",#N/A,TRUE,"Loans Receivable";"Calculation of Risk Weighted Assets",#N/A,TRUE,"Calculation of Risk Weighted As";"Bank Capital Calculation",#N/A,TRUE,"Bank Capital Calc.";"Bank Asset Analysis",#N/A,TRUE,"Bank Assets Analysis";"Twenty Largest",#N/A,TRUE,"Twenty Largest";"Reconciliation",#N/A,TRUE,"Recociliation ";"Loans to Affiliated Persons",#N/A,TRUE,"Loans to Affiliated P.";"Loan Classification",#N/A,TRUE,"Loan Classification";"Bank Liabilities",#N/A,TRUE,"Bank Liabilities Analysis";"Charge Offs",#N/A,TRUE,"Charge-offs and Recoveries"}</definedName>
    <definedName name="zalog">#REF!</definedName>
    <definedName name="доля" localSheetId="2">{"десятая","десятых";"сотая","сотых";"тысячная","тысячных";"десятитысячная","десятитысячных";"стотысячная","стотысячных";"миллионная ","миллионных"}</definedName>
    <definedName name="доля">{"десятая","десятых";"сотая","сотых";"тысячная","тысячных";"десятитысячная","десятитысячных";"стотысячная","стотысячных";"миллионная ","миллионных"}</definedName>
    <definedName name="мил" localSheetId="2">{0,"овz";1,"z";2,"аz";5,"овz"}</definedName>
    <definedName name="мил">{0,"овz";1,"z";2,"аz";5,"овz"}</definedName>
    <definedName name="_xlnm.Print_Area" localSheetId="1">График!$A$1:$E$133</definedName>
    <definedName name="_xlnm.Print_Area" localSheetId="2">'Информационный лист'!$A$1:$C$51</definedName>
    <definedName name="тыс" localSheetId="2">{0,"тысячz";1,"тысячаz";2,"тысячиz";5,"тысячz"}</definedName>
    <definedName name="тыс">{0,"тысячz";1,"тысячаz";2,"тысячиz";5,"тысячz"}</definedName>
  </definedNames>
  <calcPr calcId="152511"/>
</workbook>
</file>

<file path=xl/calcChain.xml><?xml version="1.0" encoding="utf-8"?>
<calcChain xmlns="http://schemas.openxmlformats.org/spreadsheetml/2006/main">
  <c r="B28" i="7" l="1"/>
  <c r="B16" i="7" l="1"/>
  <c r="D8" i="4" l="1"/>
  <c r="D7" i="4"/>
  <c r="D4" i="4"/>
  <c r="D2" i="4"/>
  <c r="I12" i="4" s="1"/>
  <c r="B25" i="7"/>
  <c r="B12" i="7"/>
  <c r="C23" i="9"/>
  <c r="C11" i="9"/>
  <c r="C10" i="9"/>
  <c r="C12" i="9" l="1"/>
  <c r="C14" i="9" s="1"/>
  <c r="C18" i="9" s="1"/>
  <c r="C29" i="9"/>
  <c r="B39" i="7"/>
  <c r="I13" i="4"/>
  <c r="C16" i="9" l="1"/>
  <c r="B10" i="7" s="1"/>
  <c r="B13" i="7"/>
  <c r="D9" i="4"/>
  <c r="C28" i="9" l="1"/>
  <c r="B37" i="7"/>
  <c r="B29" i="7"/>
  <c r="D6" i="4" l="1"/>
  <c r="E12" i="4" l="1"/>
  <c r="I8" i="4"/>
  <c r="B26" i="7"/>
  <c r="B27" i="7"/>
  <c r="B22" i="7" l="1"/>
  <c r="B20" i="7"/>
  <c r="D3" i="4" l="1"/>
  <c r="B13" i="4"/>
  <c r="D13" i="4" s="1"/>
  <c r="C13" i="4" s="1"/>
  <c r="A14" i="4" l="1"/>
  <c r="I14" i="4" s="1"/>
  <c r="A15" i="4" l="1"/>
  <c r="I15" i="4" s="1"/>
  <c r="A16" i="4" l="1"/>
  <c r="A17" i="4" l="1"/>
  <c r="I16" i="4"/>
  <c r="A18" i="4" l="1"/>
  <c r="I17" i="4"/>
  <c r="E13" i="4"/>
  <c r="A19" i="4" l="1"/>
  <c r="I18" i="4"/>
  <c r="A20" i="4" l="1"/>
  <c r="I19" i="4"/>
  <c r="B14" i="4"/>
  <c r="D14" i="4" s="1"/>
  <c r="A21" i="4" l="1"/>
  <c r="I20" i="4"/>
  <c r="A22" i="4" l="1"/>
  <c r="I21" i="4"/>
  <c r="C14" i="4"/>
  <c r="A23" i="4" l="1"/>
  <c r="I22" i="4"/>
  <c r="E14" i="4"/>
  <c r="B15" i="4"/>
  <c r="D15" i="4" s="1"/>
  <c r="A24" i="4" l="1"/>
  <c r="I23" i="4"/>
  <c r="A25" i="4" l="1"/>
  <c r="I24" i="4"/>
  <c r="C15" i="4"/>
  <c r="B16" i="4" s="1"/>
  <c r="D16" i="4" s="1"/>
  <c r="I25" i="4" l="1"/>
  <c r="A26" i="4"/>
  <c r="E15" i="4"/>
  <c r="I26" i="4" l="1"/>
  <c r="A27" i="4"/>
  <c r="C16" i="4"/>
  <c r="B17" i="4" s="1"/>
  <c r="D17" i="4" s="1"/>
  <c r="I27" i="4" l="1"/>
  <c r="A28" i="4"/>
  <c r="E16" i="4"/>
  <c r="I28" i="4" l="1"/>
  <c r="A29" i="4"/>
  <c r="C17" i="4"/>
  <c r="E17" i="4" s="1"/>
  <c r="I29" i="4" l="1"/>
  <c r="A30" i="4"/>
  <c r="B18" i="4"/>
  <c r="D18" i="4" s="1"/>
  <c r="I30" i="4" l="1"/>
  <c r="A31" i="4"/>
  <c r="C18" i="4"/>
  <c r="E18" i="4" s="1"/>
  <c r="I31" i="4" l="1"/>
  <c r="A32" i="4"/>
  <c r="B19" i="4"/>
  <c r="D19" i="4" s="1"/>
  <c r="I32" i="4" l="1"/>
  <c r="A33" i="4"/>
  <c r="C19" i="4"/>
  <c r="E19" i="4" s="1"/>
  <c r="I33" i="4" l="1"/>
  <c r="A34" i="4"/>
  <c r="I34" i="4" l="1"/>
  <c r="A35" i="4"/>
  <c r="I35" i="4" l="1"/>
  <c r="A36" i="4"/>
  <c r="I36" i="4" l="1"/>
  <c r="A37" i="4"/>
  <c r="I37" i="4" l="1"/>
  <c r="A38" i="4"/>
  <c r="I38" i="4" l="1"/>
  <c r="A39" i="4"/>
  <c r="I39" i="4" l="1"/>
  <c r="A40" i="4"/>
  <c r="I40" i="4" l="1"/>
  <c r="A41" i="4"/>
  <c r="I41" i="4" l="1"/>
  <c r="A42" i="4"/>
  <c r="I42" i="4" l="1"/>
  <c r="A43" i="4"/>
  <c r="I43" i="4" l="1"/>
  <c r="A44" i="4"/>
  <c r="I44" i="4" l="1"/>
  <c r="A45" i="4"/>
  <c r="I45" i="4" l="1"/>
  <c r="A46" i="4"/>
  <c r="I46" i="4" l="1"/>
  <c r="A47" i="4"/>
  <c r="I47" i="4" l="1"/>
  <c r="A48" i="4"/>
  <c r="I48" i="4" l="1"/>
  <c r="A49" i="4"/>
  <c r="I49" i="4" l="1"/>
  <c r="A50" i="4"/>
  <c r="I50" i="4" l="1"/>
  <c r="A51" i="4"/>
  <c r="I51" i="4" l="1"/>
  <c r="A52" i="4"/>
  <c r="I52" i="4" l="1"/>
  <c r="A53" i="4"/>
  <c r="I53" i="4" l="1"/>
  <c r="A54" i="4"/>
  <c r="I54" i="4" l="1"/>
  <c r="A55" i="4"/>
  <c r="I55" i="4" l="1"/>
  <c r="A56" i="4"/>
  <c r="I56" i="4" l="1"/>
  <c r="A57" i="4"/>
  <c r="I57" i="4" l="1"/>
  <c r="A58" i="4"/>
  <c r="I58" i="4" l="1"/>
  <c r="A59" i="4"/>
  <c r="I59" i="4" l="1"/>
  <c r="A60" i="4"/>
  <c r="I60" i="4" l="1"/>
  <c r="A61" i="4"/>
  <c r="I61" i="4" l="1"/>
  <c r="A62" i="4"/>
  <c r="I62" i="4" l="1"/>
  <c r="A63" i="4"/>
  <c r="I63" i="4" l="1"/>
  <c r="A64" i="4"/>
  <c r="I64" i="4" l="1"/>
  <c r="A65" i="4"/>
  <c r="I65" i="4" l="1"/>
  <c r="A66" i="4"/>
  <c r="I66" i="4" l="1"/>
  <c r="A67" i="4"/>
  <c r="I67" i="4" l="1"/>
  <c r="A68" i="4"/>
  <c r="I68" i="4" l="1"/>
  <c r="A69" i="4"/>
  <c r="I69" i="4" l="1"/>
  <c r="A70" i="4"/>
  <c r="I70" i="4" l="1"/>
  <c r="A71" i="4"/>
  <c r="I71" i="4" l="1"/>
  <c r="A72" i="4"/>
  <c r="I72" i="4" l="1"/>
  <c r="A73" i="4"/>
  <c r="I73" i="4" l="1"/>
  <c r="A74" i="4"/>
  <c r="I74" i="4" l="1"/>
  <c r="A75" i="4"/>
  <c r="I75" i="4" l="1"/>
  <c r="A76" i="4"/>
  <c r="I76" i="4" l="1"/>
  <c r="A77" i="4"/>
  <c r="I77" i="4" l="1"/>
  <c r="A78" i="4"/>
  <c r="I78" i="4" l="1"/>
  <c r="A79" i="4"/>
  <c r="I79" i="4" l="1"/>
  <c r="A80" i="4"/>
  <c r="I80" i="4" l="1"/>
  <c r="A81" i="4"/>
  <c r="I81" i="4" l="1"/>
  <c r="A82" i="4"/>
  <c r="I82" i="4" l="1"/>
  <c r="A83" i="4"/>
  <c r="I83" i="4" l="1"/>
  <c r="A84" i="4"/>
  <c r="I84" i="4" l="1"/>
  <c r="A85" i="4"/>
  <c r="I85" i="4" l="1"/>
  <c r="A86" i="4"/>
  <c r="I86" i="4" l="1"/>
  <c r="A87" i="4"/>
  <c r="I87" i="4" l="1"/>
  <c r="A88" i="4"/>
  <c r="I88" i="4" l="1"/>
  <c r="A89" i="4"/>
  <c r="I89" i="4" l="1"/>
  <c r="A90" i="4"/>
  <c r="I90" i="4" l="1"/>
  <c r="A91" i="4"/>
  <c r="I91" i="4" l="1"/>
  <c r="A92" i="4"/>
  <c r="I92" i="4" l="1"/>
  <c r="A93" i="4"/>
  <c r="I93" i="4" l="1"/>
  <c r="A94" i="4"/>
  <c r="I94" i="4" l="1"/>
  <c r="A95" i="4"/>
  <c r="I95" i="4" l="1"/>
  <c r="A96" i="4"/>
  <c r="I96" i="4" l="1"/>
  <c r="A97" i="4"/>
  <c r="I97" i="4" l="1"/>
  <c r="A98" i="4"/>
  <c r="I98" i="4" l="1"/>
  <c r="A99" i="4"/>
  <c r="I99" i="4" l="1"/>
  <c r="A100" i="4"/>
  <c r="I100" i="4" l="1"/>
  <c r="A101" i="4"/>
  <c r="I101" i="4" l="1"/>
  <c r="A102" i="4"/>
  <c r="I102" i="4" l="1"/>
  <c r="A103" i="4"/>
  <c r="I103" i="4" l="1"/>
  <c r="A104" i="4"/>
  <c r="I104" i="4" l="1"/>
  <c r="A105" i="4"/>
  <c r="I105" i="4" l="1"/>
  <c r="A106" i="4"/>
  <c r="I106" i="4" l="1"/>
  <c r="A107" i="4"/>
  <c r="I107" i="4" l="1"/>
  <c r="A108" i="4"/>
  <c r="I108" i="4" l="1"/>
  <c r="A109" i="4"/>
  <c r="I109" i="4" l="1"/>
  <c r="A110" i="4"/>
  <c r="I110" i="4" l="1"/>
  <c r="A111" i="4"/>
  <c r="I111" i="4" l="1"/>
  <c r="A112" i="4"/>
  <c r="I112" i="4" l="1"/>
  <c r="A113" i="4"/>
  <c r="I113" i="4" l="1"/>
  <c r="A114" i="4"/>
  <c r="I114" i="4" l="1"/>
  <c r="A115" i="4"/>
  <c r="I115" i="4" l="1"/>
  <c r="A116" i="4"/>
  <c r="I116" i="4" l="1"/>
  <c r="A117" i="4"/>
  <c r="I117" i="4" l="1"/>
  <c r="A118" i="4"/>
  <c r="I118" i="4" l="1"/>
  <c r="A119" i="4"/>
  <c r="I119" i="4" l="1"/>
  <c r="A120" i="4"/>
  <c r="I120" i="4" l="1"/>
  <c r="A121" i="4"/>
  <c r="I121" i="4" l="1"/>
  <c r="A122" i="4"/>
  <c r="I122" i="4" l="1"/>
  <c r="A123" i="4"/>
  <c r="I123" i="4" l="1"/>
  <c r="A124" i="4"/>
  <c r="B20" i="4"/>
  <c r="D20" i="4" s="1"/>
  <c r="I124" i="4" l="1"/>
  <c r="A125" i="4"/>
  <c r="C20" i="4"/>
  <c r="E20" i="4" s="1"/>
  <c r="I125" i="4" l="1"/>
  <c r="A126" i="4"/>
  <c r="B21" i="4"/>
  <c r="D21" i="4" s="1"/>
  <c r="I126" i="4" l="1"/>
  <c r="A127" i="4"/>
  <c r="C21" i="4"/>
  <c r="E21" i="4" s="1"/>
  <c r="I127" i="4" l="1"/>
  <c r="A128" i="4"/>
  <c r="B22" i="4"/>
  <c r="D22" i="4" s="1"/>
  <c r="I128" i="4" l="1"/>
  <c r="A129" i="4"/>
  <c r="C22" i="4"/>
  <c r="E22" i="4" s="1"/>
  <c r="I129" i="4" l="1"/>
  <c r="A130" i="4"/>
  <c r="B23" i="4"/>
  <c r="D23" i="4" s="1"/>
  <c r="I130" i="4" l="1"/>
  <c r="A131" i="4"/>
  <c r="C23" i="4"/>
  <c r="E23" i="4" s="1"/>
  <c r="I131" i="4" l="1"/>
  <c r="A132" i="4"/>
  <c r="B24" i="4"/>
  <c r="D24" i="4" s="1"/>
  <c r="I132" i="4" l="1"/>
  <c r="C24" i="4"/>
  <c r="B25" i="4" l="1"/>
  <c r="D25" i="4" s="1"/>
  <c r="E24" i="4"/>
  <c r="C25" i="4" l="1"/>
  <c r="E25" i="4" l="1"/>
  <c r="B26" i="4"/>
  <c r="D26" i="4" s="1"/>
  <c r="C26" i="4" l="1"/>
  <c r="E26" i="4" l="1"/>
  <c r="B27" i="4"/>
  <c r="D27" i="4" s="1"/>
  <c r="C27" i="4" l="1"/>
  <c r="E27" i="4" l="1"/>
  <c r="B28" i="4"/>
  <c r="D28" i="4" s="1"/>
  <c r="C28" i="4" l="1"/>
  <c r="E28" i="4" l="1"/>
  <c r="B29" i="4"/>
  <c r="D29" i="4" s="1"/>
  <c r="C29" i="4" l="1"/>
  <c r="E29" i="4" l="1"/>
  <c r="B30" i="4"/>
  <c r="D30" i="4" s="1"/>
  <c r="C30" i="4" l="1"/>
  <c r="E30" i="4" l="1"/>
  <c r="B31" i="4"/>
  <c r="D31" i="4" s="1"/>
  <c r="C31" i="4" l="1"/>
  <c r="E31" i="4" l="1"/>
  <c r="B32" i="4"/>
  <c r="D32" i="4" s="1"/>
  <c r="C32" i="4" l="1"/>
  <c r="E32" i="4" l="1"/>
  <c r="B33" i="4"/>
  <c r="D33" i="4" s="1"/>
  <c r="C33" i="4" l="1"/>
  <c r="E33" i="4" l="1"/>
  <c r="B34" i="4"/>
  <c r="D34" i="4" s="1"/>
  <c r="C34" i="4" l="1"/>
  <c r="E34" i="4" l="1"/>
  <c r="B35" i="4"/>
  <c r="D35" i="4" s="1"/>
  <c r="C35" i="4" l="1"/>
  <c r="E35" i="4" l="1"/>
  <c r="B36" i="4"/>
  <c r="D36" i="4" s="1"/>
  <c r="C36" i="4" l="1"/>
  <c r="E36" i="4" l="1"/>
  <c r="B37" i="4"/>
  <c r="D37" i="4" s="1"/>
  <c r="C37" i="4" l="1"/>
  <c r="E37" i="4" l="1"/>
  <c r="B38" i="4"/>
  <c r="D38" i="4" s="1"/>
  <c r="C38" i="4" l="1"/>
  <c r="E38" i="4" l="1"/>
  <c r="B39" i="4"/>
  <c r="D39" i="4" s="1"/>
  <c r="C39" i="4" l="1"/>
  <c r="E39" i="4" l="1"/>
  <c r="B40" i="4"/>
  <c r="D40" i="4" s="1"/>
  <c r="C40" i="4" l="1"/>
  <c r="E40" i="4" l="1"/>
  <c r="B41" i="4"/>
  <c r="D41" i="4" s="1"/>
  <c r="C41" i="4" l="1"/>
  <c r="E41" i="4" l="1"/>
  <c r="B42" i="4"/>
  <c r="D42" i="4" s="1"/>
  <c r="C42" i="4" l="1"/>
  <c r="E42" i="4" l="1"/>
  <c r="B43" i="4"/>
  <c r="D43" i="4" s="1"/>
  <c r="C43" i="4" l="1"/>
  <c r="E43" i="4" l="1"/>
  <c r="B44" i="4"/>
  <c r="D44" i="4" s="1"/>
  <c r="C44" i="4" l="1"/>
  <c r="E44" i="4" l="1"/>
  <c r="B45" i="4"/>
  <c r="D45" i="4" s="1"/>
  <c r="C45" i="4" l="1"/>
  <c r="E45" i="4" l="1"/>
  <c r="B46" i="4"/>
  <c r="D46" i="4" s="1"/>
  <c r="C46" i="4" l="1"/>
  <c r="E46" i="4" l="1"/>
  <c r="B47" i="4"/>
  <c r="D47" i="4" s="1"/>
  <c r="C47" i="4" l="1"/>
  <c r="E47" i="4" l="1"/>
  <c r="B48" i="4"/>
  <c r="D48" i="4" s="1"/>
  <c r="C48" i="4" l="1"/>
  <c r="B49" i="4" s="1"/>
  <c r="D49" i="4" s="1"/>
  <c r="E48" i="4" l="1"/>
  <c r="C49" i="4" l="1"/>
  <c r="E49" i="4" l="1"/>
  <c r="B50" i="4"/>
  <c r="D50" i="4" s="1"/>
  <c r="C50" i="4" l="1"/>
  <c r="E50" i="4" l="1"/>
  <c r="B51" i="4"/>
  <c r="D51" i="4" s="1"/>
  <c r="C51" i="4" l="1"/>
  <c r="B52" i="4" s="1"/>
  <c r="D52" i="4" s="1"/>
  <c r="C52" i="4" l="1"/>
  <c r="E51" i="4"/>
  <c r="E52" i="4" l="1"/>
  <c r="B53" i="4"/>
  <c r="D53" i="4" s="1"/>
  <c r="C53" i="4" l="1"/>
  <c r="E53" i="4" l="1"/>
  <c r="B54" i="4"/>
  <c r="D54" i="4" s="1"/>
  <c r="C54" i="4" l="1"/>
  <c r="E54" i="4" l="1"/>
  <c r="B55" i="4"/>
  <c r="D55" i="4" s="1"/>
  <c r="C55" i="4" l="1"/>
  <c r="E55" i="4" l="1"/>
  <c r="B56" i="4"/>
  <c r="D56" i="4" s="1"/>
  <c r="C56" i="4" l="1"/>
  <c r="E56" i="4" l="1"/>
  <c r="B57" i="4"/>
  <c r="D57" i="4" s="1"/>
  <c r="C57" i="4" l="1"/>
  <c r="E57" i="4" l="1"/>
  <c r="B58" i="4"/>
  <c r="D58" i="4" s="1"/>
  <c r="C58" i="4" l="1"/>
  <c r="E58" i="4" l="1"/>
  <c r="B59" i="4"/>
  <c r="D59" i="4" s="1"/>
  <c r="C59" i="4" l="1"/>
  <c r="E59" i="4" l="1"/>
  <c r="B60" i="4"/>
  <c r="D60" i="4" s="1"/>
  <c r="C60" i="4" l="1"/>
  <c r="E60" i="4" l="1"/>
  <c r="B61" i="4"/>
  <c r="D61" i="4" s="1"/>
  <c r="C61" i="4" l="1"/>
  <c r="E61" i="4" l="1"/>
  <c r="B62" i="4"/>
  <c r="D62" i="4" s="1"/>
  <c r="C62" i="4" l="1"/>
  <c r="E62" i="4" l="1"/>
  <c r="B63" i="4"/>
  <c r="D63" i="4" s="1"/>
  <c r="C63" i="4" l="1"/>
  <c r="E63" i="4" l="1"/>
  <c r="B64" i="4"/>
  <c r="D64" i="4" s="1"/>
  <c r="C64" i="4" l="1"/>
  <c r="E64" i="4" l="1"/>
  <c r="B65" i="4"/>
  <c r="D65" i="4" s="1"/>
  <c r="C65" i="4" l="1"/>
  <c r="E65" i="4" l="1"/>
  <c r="B66" i="4"/>
  <c r="D66" i="4" s="1"/>
  <c r="C66" i="4" l="1"/>
  <c r="E66" i="4" l="1"/>
  <c r="B67" i="4"/>
  <c r="D67" i="4" s="1"/>
  <c r="C67" i="4" l="1"/>
  <c r="E67" i="4" l="1"/>
  <c r="B68" i="4"/>
  <c r="D68" i="4" s="1"/>
  <c r="C68" i="4" l="1"/>
  <c r="E68" i="4" l="1"/>
  <c r="B69" i="4"/>
  <c r="D69" i="4" s="1"/>
  <c r="C69" i="4" l="1"/>
  <c r="E69" i="4" l="1"/>
  <c r="B70" i="4"/>
  <c r="D70" i="4" s="1"/>
  <c r="C70" i="4" l="1"/>
  <c r="E70" i="4" l="1"/>
  <c r="B71" i="4"/>
  <c r="D71" i="4" s="1"/>
  <c r="C71" i="4" l="1"/>
  <c r="E71" i="4" l="1"/>
  <c r="B72" i="4"/>
  <c r="D72" i="4" s="1"/>
  <c r="C72" i="4" l="1"/>
  <c r="E72" i="4" l="1"/>
  <c r="B73" i="4"/>
  <c r="D73" i="4" s="1"/>
  <c r="C73" i="4" l="1"/>
  <c r="E73" i="4" l="1"/>
  <c r="B74" i="4"/>
  <c r="D74" i="4" s="1"/>
  <c r="C74" i="4" l="1"/>
  <c r="E74" i="4" l="1"/>
  <c r="B75" i="4"/>
  <c r="D75" i="4" s="1"/>
  <c r="C75" i="4" l="1"/>
  <c r="E75" i="4" l="1"/>
  <c r="B76" i="4"/>
  <c r="D76" i="4" s="1"/>
  <c r="C76" i="4" l="1"/>
  <c r="E76" i="4" l="1"/>
  <c r="B77" i="4"/>
  <c r="D77" i="4" s="1"/>
  <c r="C77" i="4" l="1"/>
  <c r="E77" i="4" l="1"/>
  <c r="B78" i="4"/>
  <c r="D78" i="4" s="1"/>
  <c r="C78" i="4" l="1"/>
  <c r="E78" i="4" l="1"/>
  <c r="B79" i="4"/>
  <c r="D79" i="4" s="1"/>
  <c r="C79" i="4" l="1"/>
  <c r="E79" i="4" l="1"/>
  <c r="B80" i="4"/>
  <c r="D80" i="4" s="1"/>
  <c r="C80" i="4" l="1"/>
  <c r="E80" i="4" l="1"/>
  <c r="B81" i="4"/>
  <c r="D81" i="4" s="1"/>
  <c r="C81" i="4" l="1"/>
  <c r="E81" i="4" l="1"/>
  <c r="B82" i="4"/>
  <c r="D82" i="4" s="1"/>
  <c r="C82" i="4" l="1"/>
  <c r="E82" i="4" l="1"/>
  <c r="B83" i="4"/>
  <c r="D83" i="4" s="1"/>
  <c r="C83" i="4" l="1"/>
  <c r="E83" i="4" l="1"/>
  <c r="B84" i="4"/>
  <c r="D84" i="4" s="1"/>
  <c r="C84" i="4" l="1"/>
  <c r="E84" i="4" l="1"/>
  <c r="B85" i="4"/>
  <c r="D85" i="4" s="1"/>
  <c r="C85" i="4" l="1"/>
  <c r="E85" i="4" l="1"/>
  <c r="B86" i="4"/>
  <c r="D86" i="4" s="1"/>
  <c r="C86" i="4" l="1"/>
  <c r="E86" i="4" l="1"/>
  <c r="B87" i="4"/>
  <c r="D87" i="4" s="1"/>
  <c r="C87" i="4" l="1"/>
  <c r="E87" i="4" l="1"/>
  <c r="B88" i="4"/>
  <c r="D88" i="4" s="1"/>
  <c r="C88" i="4" l="1"/>
  <c r="E88" i="4" l="1"/>
  <c r="B89" i="4"/>
  <c r="D89" i="4" s="1"/>
  <c r="C89" i="4" l="1"/>
  <c r="E89" i="4" l="1"/>
  <c r="B90" i="4"/>
  <c r="D90" i="4" s="1"/>
  <c r="C90" i="4" l="1"/>
  <c r="E90" i="4" l="1"/>
  <c r="B91" i="4"/>
  <c r="D91" i="4" s="1"/>
  <c r="C91" i="4" l="1"/>
  <c r="E91" i="4" l="1"/>
  <c r="B92" i="4"/>
  <c r="D92" i="4" s="1"/>
  <c r="C92" i="4" l="1"/>
  <c r="E92" i="4" l="1"/>
  <c r="B93" i="4"/>
  <c r="D93" i="4" s="1"/>
  <c r="C93" i="4" l="1"/>
  <c r="E93" i="4" l="1"/>
  <c r="B94" i="4"/>
  <c r="D94" i="4" s="1"/>
  <c r="C94" i="4" l="1"/>
  <c r="E94" i="4" l="1"/>
  <c r="B95" i="4"/>
  <c r="D95" i="4" l="1"/>
  <c r="C95" i="4" s="1"/>
  <c r="B96" i="4" l="1"/>
  <c r="D96" i="4" s="1"/>
  <c r="C96" i="4" s="1"/>
  <c r="E95" i="4"/>
  <c r="E96" i="4" l="1"/>
  <c r="B97" i="4"/>
  <c r="D97" i="4" s="1"/>
  <c r="C97" i="4" l="1"/>
  <c r="E97" i="4" l="1"/>
  <c r="B98" i="4"/>
  <c r="D98" i="4" s="1"/>
  <c r="C98" i="4" l="1"/>
  <c r="E98" i="4" l="1"/>
  <c r="B99" i="4"/>
  <c r="D99" i="4" s="1"/>
  <c r="C99" i="4" l="1"/>
  <c r="E99" i="4" l="1"/>
  <c r="B100" i="4"/>
  <c r="D100" i="4" s="1"/>
  <c r="C100" i="4" l="1"/>
  <c r="E100" i="4" l="1"/>
  <c r="B101" i="4"/>
  <c r="D101" i="4" s="1"/>
  <c r="C101" i="4" l="1"/>
  <c r="E101" i="4" l="1"/>
  <c r="B102" i="4"/>
  <c r="D102" i="4" s="1"/>
  <c r="C102" i="4" l="1"/>
  <c r="E102" i="4" l="1"/>
  <c r="B103" i="4"/>
  <c r="D103" i="4" s="1"/>
  <c r="C103" i="4" l="1"/>
  <c r="E103" i="4" l="1"/>
  <c r="B104" i="4"/>
  <c r="D104" i="4" s="1"/>
  <c r="C104" i="4" l="1"/>
  <c r="E104" i="4" l="1"/>
  <c r="B105" i="4"/>
  <c r="D105" i="4" s="1"/>
  <c r="C105" i="4" l="1"/>
  <c r="E105" i="4" l="1"/>
  <c r="B106" i="4"/>
  <c r="D106" i="4" s="1"/>
  <c r="C106" i="4" l="1"/>
  <c r="E106" i="4" l="1"/>
  <c r="B107" i="4"/>
  <c r="D107" i="4" s="1"/>
  <c r="C107" i="4" l="1"/>
  <c r="E107" i="4" l="1"/>
  <c r="B108" i="4"/>
  <c r="D108" i="4" s="1"/>
  <c r="C108" i="4" l="1"/>
  <c r="E108" i="4" l="1"/>
  <c r="B109" i="4"/>
  <c r="D109" i="4" s="1"/>
  <c r="C109" i="4" l="1"/>
  <c r="E109" i="4" l="1"/>
  <c r="B110" i="4"/>
  <c r="D110" i="4" s="1"/>
  <c r="C110" i="4" l="1"/>
  <c r="E110" i="4" l="1"/>
  <c r="B111" i="4"/>
  <c r="D111" i="4" s="1"/>
  <c r="C111" i="4" l="1"/>
  <c r="E111" i="4" l="1"/>
  <c r="B112" i="4"/>
  <c r="D112" i="4" s="1"/>
  <c r="C112" i="4" l="1"/>
  <c r="E112" i="4" l="1"/>
  <c r="B113" i="4"/>
  <c r="D113" i="4" s="1"/>
  <c r="C113" i="4" l="1"/>
  <c r="E113" i="4" l="1"/>
  <c r="B114" i="4"/>
  <c r="D114" i="4" s="1"/>
  <c r="C114" i="4" l="1"/>
  <c r="E114" i="4" l="1"/>
  <c r="B115" i="4"/>
  <c r="D115" i="4" s="1"/>
  <c r="C115" i="4" l="1"/>
  <c r="E115" i="4" l="1"/>
  <c r="B116" i="4"/>
  <c r="D116" i="4" s="1"/>
  <c r="C116" i="4" l="1"/>
  <c r="E116" i="4" l="1"/>
  <c r="B117" i="4"/>
  <c r="D117" i="4" s="1"/>
  <c r="C117" i="4" l="1"/>
  <c r="E117" i="4" l="1"/>
  <c r="B118" i="4"/>
  <c r="D118" i="4" s="1"/>
  <c r="C118" i="4" l="1"/>
  <c r="E118" i="4" l="1"/>
  <c r="B119" i="4"/>
  <c r="D119" i="4" l="1"/>
  <c r="C119" i="4" s="1"/>
  <c r="B120" i="4" l="1"/>
  <c r="D120" i="4" s="1"/>
  <c r="C120" i="4" s="1"/>
  <c r="E119" i="4"/>
  <c r="E120" i="4" l="1"/>
  <c r="B121" i="4"/>
  <c r="D121" i="4" s="1"/>
  <c r="C121" i="4" l="1"/>
  <c r="E121" i="4" l="1"/>
  <c r="B122" i="4"/>
  <c r="D122" i="4" s="1"/>
  <c r="C122" i="4" l="1"/>
  <c r="E122" i="4" l="1"/>
  <c r="B123" i="4"/>
  <c r="D123" i="4" s="1"/>
  <c r="C123" i="4" l="1"/>
  <c r="E123" i="4" l="1"/>
  <c r="B124" i="4"/>
  <c r="D124" i="4" s="1"/>
  <c r="C124" i="4" l="1"/>
  <c r="E124" i="4" l="1"/>
  <c r="B125" i="4"/>
  <c r="D125" i="4" s="1"/>
  <c r="C125" i="4" l="1"/>
  <c r="E125" i="4" s="1"/>
  <c r="B126" i="4" l="1"/>
  <c r="D126" i="4" s="1"/>
  <c r="C126" i="4" l="1"/>
  <c r="E126" i="4" l="1"/>
  <c r="B127" i="4"/>
  <c r="D127" i="4" l="1"/>
  <c r="C127" i="4" s="1"/>
  <c r="B128" i="4" l="1"/>
  <c r="D128" i="4" s="1"/>
  <c r="C128" i="4" s="1"/>
  <c r="E127" i="4"/>
  <c r="E128" i="4" l="1"/>
  <c r="B129" i="4"/>
  <c r="D129" i="4" l="1"/>
  <c r="C129" i="4" s="1"/>
  <c r="B130" i="4" l="1"/>
  <c r="E129" i="4"/>
  <c r="D130" i="4" l="1"/>
  <c r="C130" i="4" s="1"/>
  <c r="B131" i="4" l="1"/>
  <c r="E130" i="4"/>
  <c r="D131" i="4" l="1"/>
  <c r="C131" i="4" s="1"/>
  <c r="E131" i="4" l="1"/>
  <c r="B132" i="4"/>
  <c r="D132" i="4" l="1"/>
  <c r="C132" i="4" s="1"/>
  <c r="E132" i="4" l="1"/>
  <c r="E134" i="4" s="1"/>
  <c r="C133" i="4" l="1"/>
  <c r="B30" i="7"/>
  <c r="D133" i="4" l="1"/>
  <c r="C13" i="7" s="1"/>
  <c r="E133" i="4" l="1"/>
  <c r="B15" i="7" s="1"/>
  <c r="I7" i="4"/>
</calcChain>
</file>

<file path=xl/sharedStrings.xml><?xml version="1.0" encoding="utf-8"?>
<sst xmlns="http://schemas.openxmlformats.org/spreadsheetml/2006/main" count="149" uniqueCount="129">
  <si>
    <t>Сумма кредита</t>
  </si>
  <si>
    <t>Срок кредита</t>
  </si>
  <si>
    <t>Процентная ставка</t>
  </si>
  <si>
    <t>мес.</t>
  </si>
  <si>
    <t>Льготный период</t>
  </si>
  <si>
    <t>Остаток кредита</t>
  </si>
  <si>
    <t>Основной долг</t>
  </si>
  <si>
    <t>Проценты</t>
  </si>
  <si>
    <t>Всего</t>
  </si>
  <si>
    <t>Метод расчетов</t>
  </si>
  <si>
    <t>%% годовых</t>
  </si>
  <si>
    <t>месяцев</t>
  </si>
  <si>
    <t>Цель кредита</t>
  </si>
  <si>
    <t>Тип продукта</t>
  </si>
  <si>
    <t>Последняя дата гашения</t>
  </si>
  <si>
    <t>Дата графика</t>
  </si>
  <si>
    <t>Предварительный график погашения</t>
  </si>
  <si>
    <t>Сведения, указанные в разделах 1 и 2 настоящего информационного листа, не считаются окончательными и могут быть изменены в кредитном договоре.</t>
  </si>
  <si>
    <t xml:space="preserve"> (минимальные требования к предмету обеспечения, минимальная стоимость залога)</t>
  </si>
  <si>
    <t>3. Обеспечение кредита</t>
  </si>
  <si>
    <t>2. Размер повышенной процентной ставки за просроченные платежи</t>
  </si>
  <si>
    <t>1. Неустойка за нарушение условий кредита</t>
  </si>
  <si>
    <t>Раздел 2. Другие значимые условия</t>
  </si>
  <si>
    <t>*) Настоящий лист не заменяет кредитный договор или заявку на получение кредита, а помогает сравнить условия кредитования различных банков и осуществить нужный выбор.</t>
  </si>
  <si>
    <t>2) Страхование объекта залога, на период страхования</t>
  </si>
  <si>
    <t>1) Оценка имущества</t>
  </si>
  <si>
    <t xml:space="preserve"> (дифференцированный, аннуитет и пр.) </t>
  </si>
  <si>
    <t>ежемесячно</t>
  </si>
  <si>
    <t>(включая проценты и расходы по обслуживанию кредита)</t>
  </si>
  <si>
    <t>(в денежном выражении 
на полный срок кредита )</t>
  </si>
  <si>
    <t>(в виде процентов)</t>
  </si>
  <si>
    <t xml:space="preserve">   5. Процентная ставка кредита
       (в номинальном размере)</t>
  </si>
  <si>
    <t>4. Срок кредита</t>
  </si>
  <si>
    <t>3. Размер кредита</t>
  </si>
  <si>
    <t>Раздел 1. Сведения по кредиту</t>
  </si>
  <si>
    <t>Наименование банка</t>
  </si>
  <si>
    <t>о основных условиях кредита</t>
  </si>
  <si>
    <t>ИНФОРМАЦИОННЫЙ ЛИСТ</t>
  </si>
  <si>
    <t>аннуитет</t>
  </si>
  <si>
    <t>Полная стоимость кредита</t>
  </si>
  <si>
    <t>Платежи заемщика связанные с получением кредита</t>
  </si>
  <si>
    <t xml:space="preserve">% ставка по страхованию залога </t>
  </si>
  <si>
    <t>Сумма страховой премии по страхованию залога</t>
  </si>
  <si>
    <t>Гос.пошлина за удостоверение залога</t>
  </si>
  <si>
    <t>Другие платные услуги нотариуса (включает проверку запрета, консультацию и подготовку проекта договора)</t>
  </si>
  <si>
    <t>Далее формируется график</t>
  </si>
  <si>
    <t>Указывается</t>
  </si>
  <si>
    <t>ПСК в %</t>
  </si>
  <si>
    <t>Платежи по основному долгу и процентам</t>
  </si>
  <si>
    <t>Расходы по оценке имущества</t>
  </si>
  <si>
    <t>4) Гос.пошлина за удостоверение залога</t>
  </si>
  <si>
    <t>5) Другие платные услуги нотариуса (включает проверку запрета, консультацию и подготовку проекта договора)</t>
  </si>
  <si>
    <t>Залоговая стоимость</t>
  </si>
  <si>
    <t>Всегда</t>
  </si>
  <si>
    <t>в "сум"</t>
  </si>
  <si>
    <t>фиксировано</t>
  </si>
  <si>
    <t>отображать два значения после запятой</t>
  </si>
  <si>
    <t>Услуги кадастровой службы</t>
  </si>
  <si>
    <t>6) Услуги кадастровой службы</t>
  </si>
  <si>
    <t>до сотых</t>
  </si>
  <si>
    <t xml:space="preserve">Внимание: Данный калькулятор имеет информационный характер
 и не является официальным документом по предоставлению кредита. </t>
  </si>
  <si>
    <t>Ипотека "КОМФОРТНЫЙ ДОМ"</t>
  </si>
  <si>
    <t>Стоимость квартиры</t>
  </si>
  <si>
    <t>Максимальная сумма кредита</t>
  </si>
  <si>
    <t>Минимальная предоплата</t>
  </si>
  <si>
    <t>Минимальная предоплата, значение 1</t>
  </si>
  <si>
    <t>Минимальная предоплата, значение 2</t>
  </si>
  <si>
    <t>Расчет минимальный предоплаты</t>
  </si>
  <si>
    <t>Доля минимальной предоплаты</t>
  </si>
  <si>
    <t>для расчетов, не видно клиенту</t>
  </si>
  <si>
    <t>клиент вводит вручную</t>
  </si>
  <si>
    <t xml:space="preserve">для расчетов, не видно клиенту </t>
  </si>
  <si>
    <t>эти данные должны отображаться в поле информации по кредитному продукту</t>
  </si>
  <si>
    <t>клиент вводит вручную, доступно начиная с данной суммы, до суммы стоимости квартиры</t>
  </si>
  <si>
    <t>поле нередактируемое, видно для клиента, и меняется в зависимости от суммы предоплаты</t>
  </si>
  <si>
    <t>Макс. срок кредита</t>
  </si>
  <si>
    <t>клиент вводит вручную, доступно от 6 мес. до макс. срока 120 мес.</t>
  </si>
  <si>
    <t>Желаемый льготный период</t>
  </si>
  <si>
    <t>клиент вводит вручную, доступно от 0 мес. до макс. срока 3 мес.</t>
  </si>
  <si>
    <t>для расчетов, не видно клиенту, расчитывается формулой</t>
  </si>
  <si>
    <t>по умолчанию 0,1%, доступна к редактированию клиентом</t>
  </si>
  <si>
    <t>в год</t>
  </si>
  <si>
    <t>приобретение жилого имущества в ипотеку</t>
  </si>
  <si>
    <t>для расчетов</t>
  </si>
  <si>
    <t>Мес.</t>
  </si>
  <si>
    <t>данный месяц для расчета, не отображается на сайте</t>
  </si>
  <si>
    <t>последний платеж</t>
  </si>
  <si>
    <t>не видны клиенту, нужно для информационного листа и расчета ПСК</t>
  </si>
  <si>
    <t>вводится клиентов вручную, подсказок нет, обязателен к вводу (можно и 0)</t>
  </si>
  <si>
    <t>АКБ "Капиталбанк"</t>
  </si>
  <si>
    <t>Официальный сайт</t>
  </si>
  <si>
    <t>1. Тип кредита</t>
  </si>
  <si>
    <t>Ипотечный</t>
  </si>
  <si>
    <t>2. Цель кредита (вид)</t>
  </si>
  <si>
    <t xml:space="preserve">6.Общая сумма, подлежащая выплате </t>
  </si>
  <si>
    <t>7.Период отсрочки погашения кредита (при наличии)</t>
  </si>
  <si>
    <t>в "мес"</t>
  </si>
  <si>
    <t>8. Периодичность платежей</t>
  </si>
  <si>
    <t>9. Способ погашения кредита</t>
  </si>
  <si>
    <t>10. Сумма разового платежа в период платежей (в месяц)</t>
  </si>
  <si>
    <t>11.Форма предоставления кредита</t>
  </si>
  <si>
    <t xml:space="preserve">В соотвествии с действующим законодательством Руз, Кредитной политикой банка. </t>
  </si>
  <si>
    <t xml:space="preserve">  12. Дополнительные расходы, связанные с кредитом, в том числе:</t>
  </si>
  <si>
    <t>12.1 банковская комиссия и сборы по видам</t>
  </si>
  <si>
    <t>12.2 услуги третьих лиц:
       (указываются отдельно)</t>
  </si>
  <si>
    <t xml:space="preserve">13. Стоимость кредита </t>
  </si>
  <si>
    <t>14.Срок рассмотрения кредитной заявки</t>
  </si>
  <si>
    <t>(+998 71) 200-15-15</t>
  </si>
  <si>
    <t>Единая информационная служба</t>
  </si>
  <si>
    <t>За несвоевременное оформление и/или не предоставление Заемщиком договора залога, договора страхования и полиса страхования Предмета залога и/или договора поручительства, в сроки и на условиях, предусмотренных в кредитном договоре, Банк имеет право взыскать пеню в размере 0,1% за каждый день просрочки от суммы не оформленного в срок обеспечения, но не более 10% от суммы не оформленного в срок обеспечения.</t>
  </si>
  <si>
    <t>Внимательно изучите, прежде чем соглашаться на получение кредита!</t>
  </si>
  <si>
    <t xml:space="preserve">    Вы вправе получить из банка полную и подробную информацию об условиях и стоимости кредита/микрозайма, порядке платежей и расчетов (проценты, штрафы и пени), Ваших правах и обязанностях по кредитному договору (договору микрозайма), о рисках и ответственности, которые могут вытекать из кредитного договора (договора микрозайма), а также по другим вопросам, которые Вам неясны.</t>
  </si>
  <si>
    <t xml:space="preserve">     При наличии жалоб Вы можете обратиться по телефону (+998 71) 200-45-45 или направить свое обращение по почтовому адресу: г. Ташкент, Юнусабадский район, ул. Сайилгох, д.7а, либо на электронный адрес банка info@kapitalbank.uz.</t>
  </si>
  <si>
    <t>Kapitalbank.uz</t>
  </si>
  <si>
    <t xml:space="preserve">ТОЧНОСТЬ ИНФОРМАЦИОННОГО ЛИСТА
И ИСТИНА ПОДТВЕРЖДАЕТСЯ.
</t>
  </si>
  <si>
    <t xml:space="preserve">(специалист банка Ф.И.О и должность) </t>
  </si>
  <si>
    <t>Дата заполнения</t>
  </si>
  <si>
    <t>* Эта форма не заменяет кредитный договор или кредитную заявку, но помогает сравнить условия кредитования разных банков и сделать правильный выбор.</t>
  </si>
  <si>
    <t>В течение 5 рабочих дней</t>
  </si>
  <si>
    <t xml:space="preserve">Приобретение жилого имущества </t>
  </si>
  <si>
    <t>Приобретаемое недвижимое имущество</t>
  </si>
  <si>
    <t>________________________________</t>
  </si>
  <si>
    <t>1.Вид обеспечения поменять на "Преобретаемое недвижимое имущество"</t>
  </si>
  <si>
    <t>2.Убрать связь со шкалой в поле "Срок кредита"</t>
  </si>
  <si>
    <t>3.Добавить наименование к этому полю "Расходы по оценке имущества"</t>
  </si>
  <si>
    <t>4.Проверить учитывается ли при расчете ПСК платеж"Другие платные услуги натариуса"</t>
  </si>
  <si>
    <t>5.При расчете ПСК проверить формулу при расчете платежа "Сумма страховой премии по страхованию залога"</t>
  </si>
  <si>
    <t>6.Проверить учитывается ли при расчете ПСК платеж "Расходы по оценке имущества"</t>
  </si>
  <si>
    <t>7.Иформационный лист заменить на новый формат( в информационном листе должна отображаться информация как приведено во вкладке в данном файле "Информационный лист"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</si>
</sst>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\ _₽_-;\-* #,##0.00\ _₽_-;_-* &quot;-&quot;??\ _₽_-;_-@_-"/>
    <numFmt numFmtId="164" formatCode="0.0%"/>
    <numFmt numFmtId="165" formatCode="#,##0.00_ ;[Red]\-#,##0.00\ "/>
    <numFmt numFmtId="166" formatCode="#,##0.0000"/>
    <numFmt numFmtId="167" formatCode="#,##0.00_ ;\-#,##0.00\ "/>
    <numFmt numFmtId="168" formatCode="#,##0_ ;\-#,##0\ "/>
  </numFmts>
  <fonts count="29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name val="Arial"/>
      <family val="2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3" tint="-0.249977111117893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0"/>
      <name val="Arial Cyr"/>
      <charset val="204"/>
    </font>
    <font>
      <i/>
      <sz val="12"/>
      <color indexed="8"/>
      <name val="Times New Roman"/>
      <family val="1"/>
      <charset val="204"/>
    </font>
    <font>
      <b/>
      <sz val="12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i/>
      <sz val="12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2"/>
      <color theme="1"/>
      <name val="Arial Narrow"/>
      <family val="2"/>
      <charset val="204"/>
    </font>
    <font>
      <b/>
      <sz val="12"/>
      <color theme="1"/>
      <name val="Arial Narrow"/>
      <family val="2"/>
      <charset val="204"/>
    </font>
    <font>
      <b/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2"/>
      <name val="Arial"/>
      <family val="2"/>
      <charset val="204"/>
    </font>
    <font>
      <sz val="12"/>
      <color theme="1"/>
      <name val="Arial"/>
      <family val="2"/>
      <charset val="204"/>
    </font>
    <font>
      <sz val="9"/>
      <color rgb="FF000000"/>
      <name val="MS Shell Dlg 2"/>
    </font>
    <font>
      <b/>
      <sz val="14"/>
      <color indexed="8"/>
      <name val="Times New Roman"/>
      <family val="1"/>
      <charset val="204"/>
    </font>
    <font>
      <sz val="12"/>
      <name val="Virtec Times New Roman Uz"/>
    </font>
    <font>
      <i/>
      <sz val="10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1">
    <xf numFmtId="0" fontId="0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10" fillId="0" borderId="0"/>
    <xf numFmtId="9" fontId="17" fillId="0" borderId="0" applyFont="0" applyFill="0" applyBorder="0" applyAlignment="0" applyProtection="0"/>
    <xf numFmtId="0" fontId="18" fillId="0" borderId="0"/>
    <xf numFmtId="0" fontId="1" fillId="0" borderId="0"/>
    <xf numFmtId="43" fontId="22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Protection="1">
      <protection hidden="1"/>
    </xf>
    <xf numFmtId="0" fontId="4" fillId="0" borderId="1" xfId="0" applyFon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4" fontId="3" fillId="0" borderId="1" xfId="0" applyNumberFormat="1" applyFont="1" applyBorder="1" applyProtection="1">
      <protection hidden="1"/>
    </xf>
    <xf numFmtId="0" fontId="5" fillId="0" borderId="0" xfId="1" applyFont="1" applyAlignment="1" applyProtection="1">
      <alignment vertical="center"/>
    </xf>
    <xf numFmtId="0" fontId="5" fillId="0" borderId="0" xfId="1" applyFont="1" applyAlignment="1" applyProtection="1">
      <alignment horizontal="justify" vertical="center" wrapText="1" shrinkToFit="1"/>
    </xf>
    <xf numFmtId="0" fontId="5" fillId="0" borderId="0" xfId="1" applyFont="1" applyAlignment="1" applyProtection="1">
      <alignment vertical="center" wrapText="1" shrinkToFit="1"/>
    </xf>
    <xf numFmtId="0" fontId="5" fillId="0" borderId="0" xfId="1" applyFont="1" applyBorder="1" applyAlignment="1" applyProtection="1">
      <alignment vertical="center" wrapText="1" shrinkToFit="1"/>
    </xf>
    <xf numFmtId="4" fontId="5" fillId="0" borderId="1" xfId="1" applyNumberFormat="1" applyFont="1" applyBorder="1" applyAlignment="1" applyProtection="1">
      <alignment horizontal="center" vertical="center" wrapText="1" shrinkToFit="1"/>
    </xf>
    <xf numFmtId="4" fontId="5" fillId="0" borderId="0" xfId="1" applyNumberFormat="1" applyFont="1" applyBorder="1" applyAlignment="1" applyProtection="1">
      <alignment horizontal="center" vertical="center" wrapText="1" shrinkToFit="1"/>
    </xf>
    <xf numFmtId="4" fontId="5" fillId="0" borderId="1" xfId="1" applyNumberFormat="1" applyFont="1" applyBorder="1" applyAlignment="1" applyProtection="1">
      <alignment vertical="center"/>
    </xf>
    <xf numFmtId="14" fontId="7" fillId="0" borderId="1" xfId="5" applyNumberFormat="1" applyFont="1" applyBorder="1" applyAlignment="1" applyProtection="1">
      <alignment horizontal="center" vertical="center"/>
    </xf>
    <xf numFmtId="4" fontId="5" fillId="0" borderId="0" xfId="1" applyNumberFormat="1" applyFont="1" applyAlignment="1" applyProtection="1">
      <alignment horizontal="justify" vertical="center" wrapText="1" shrinkToFit="1"/>
    </xf>
    <xf numFmtId="0" fontId="5" fillId="0" borderId="0" xfId="1" applyFont="1" applyBorder="1" applyAlignment="1" applyProtection="1">
      <alignment vertical="center"/>
    </xf>
    <xf numFmtId="0" fontId="8" fillId="2" borderId="0" xfId="1" applyNumberFormat="1" applyFont="1" applyFill="1" applyBorder="1" applyAlignment="1" applyProtection="1">
      <alignment horizontal="center" vertical="center"/>
    </xf>
    <xf numFmtId="0" fontId="9" fillId="0" borderId="0" xfId="1" applyFont="1" applyFill="1" applyBorder="1" applyAlignment="1" applyProtection="1">
      <alignment horizontal="left" vertical="center"/>
    </xf>
    <xf numFmtId="2" fontId="8" fillId="2" borderId="0" xfId="1" applyNumberFormat="1" applyFont="1" applyFill="1" applyBorder="1" applyAlignment="1" applyProtection="1">
      <alignment horizontal="center" vertical="center"/>
    </xf>
    <xf numFmtId="4" fontId="8" fillId="2" borderId="0" xfId="1" applyNumberFormat="1" applyFont="1" applyFill="1" applyBorder="1" applyAlignment="1" applyProtection="1">
      <alignment horizontal="center" vertical="center"/>
    </xf>
    <xf numFmtId="14" fontId="7" fillId="2" borderId="0" xfId="4" applyNumberFormat="1" applyFont="1" applyFill="1" applyBorder="1" applyAlignment="1" applyProtection="1">
      <alignment horizontal="center"/>
    </xf>
    <xf numFmtId="4" fontId="5" fillId="0" borderId="0" xfId="1" applyNumberFormat="1" applyFont="1" applyAlignment="1" applyProtection="1">
      <alignment horizontal="center" vertical="center" wrapText="1" shrinkToFit="1"/>
    </xf>
    <xf numFmtId="14" fontId="8" fillId="2" borderId="0" xfId="1" applyNumberFormat="1" applyFont="1" applyFill="1" applyBorder="1" applyAlignment="1" applyProtection="1">
      <alignment horizontal="center" vertical="center"/>
    </xf>
    <xf numFmtId="0" fontId="5" fillId="0" borderId="0" xfId="1" applyNumberFormat="1" applyFont="1" applyAlignment="1" applyProtection="1">
      <alignment horizontal="center" vertical="center"/>
    </xf>
    <xf numFmtId="4" fontId="5" fillId="0" borderId="0" xfId="1" applyNumberFormat="1" applyFont="1" applyAlignment="1" applyProtection="1">
      <alignment vertical="center"/>
    </xf>
    <xf numFmtId="4" fontId="5" fillId="0" borderId="0" xfId="1" applyNumberFormat="1" applyFont="1" applyAlignment="1" applyProtection="1">
      <alignment vertical="center" wrapText="1" shrinkToFit="1"/>
    </xf>
    <xf numFmtId="10" fontId="5" fillId="0" borderId="0" xfId="3" applyNumberFormat="1" applyFont="1" applyAlignment="1" applyProtection="1">
      <alignment horizontal="justify" vertical="center" wrapText="1" shrinkToFit="1"/>
    </xf>
    <xf numFmtId="166" fontId="5" fillId="0" borderId="0" xfId="1" applyNumberFormat="1" applyFont="1" applyAlignment="1" applyProtection="1">
      <alignment horizontal="justify" vertical="center" wrapText="1" shrinkToFit="1"/>
    </xf>
    <xf numFmtId="14" fontId="5" fillId="0" borderId="0" xfId="1" applyNumberFormat="1" applyFont="1" applyAlignment="1" applyProtection="1">
      <alignment horizontal="justify" vertical="center" wrapText="1" shrinkToFit="1"/>
    </xf>
    <xf numFmtId="4" fontId="5" fillId="0" borderId="0" xfId="3" applyNumberFormat="1" applyFont="1" applyAlignment="1" applyProtection="1">
      <alignment horizontal="center" vertical="center" wrapText="1" shrinkToFit="1"/>
    </xf>
    <xf numFmtId="49" fontId="11" fillId="0" borderId="0" xfId="1" applyNumberFormat="1" applyFont="1" applyBorder="1" applyAlignment="1" applyProtection="1">
      <alignment horizontal="justify" vertical="center" wrapText="1" shrinkToFit="1"/>
    </xf>
    <xf numFmtId="0" fontId="6" fillId="0" borderId="0" xfId="1" applyFont="1" applyBorder="1" applyAlignment="1" applyProtection="1">
      <alignment horizontal="center" vertical="center" wrapText="1" shrinkToFit="1"/>
    </xf>
    <xf numFmtId="0" fontId="9" fillId="0" borderId="0" xfId="6" applyFont="1" applyBorder="1" applyAlignment="1" applyProtection="1">
      <alignment horizontal="left" vertical="center" wrapText="1"/>
    </xf>
    <xf numFmtId="49" fontId="5" fillId="0" borderId="0" xfId="1" applyNumberFormat="1" applyFont="1" applyBorder="1" applyAlignment="1" applyProtection="1">
      <alignment vertical="center" wrapText="1" shrinkToFit="1"/>
    </xf>
    <xf numFmtId="0" fontId="9" fillId="0" borderId="0" xfId="6" applyFont="1" applyBorder="1" applyAlignment="1" applyProtection="1">
      <alignment horizontal="center" vertical="center" wrapText="1"/>
    </xf>
    <xf numFmtId="0" fontId="9" fillId="0" borderId="4" xfId="6" applyFont="1" applyBorder="1" applyAlignment="1" applyProtection="1">
      <alignment horizontal="center" vertical="center" wrapText="1"/>
    </xf>
    <xf numFmtId="0" fontId="9" fillId="0" borderId="5" xfId="6" applyFont="1" applyBorder="1" applyAlignment="1" applyProtection="1">
      <alignment horizontal="center" vertical="center" wrapText="1"/>
    </xf>
    <xf numFmtId="0" fontId="9" fillId="0" borderId="6" xfId="6" applyFont="1" applyBorder="1" applyAlignment="1" applyProtection="1">
      <alignment horizontal="left" vertical="center" wrapText="1" indent="1"/>
    </xf>
    <xf numFmtId="0" fontId="9" fillId="0" borderId="1" xfId="6" applyFont="1" applyBorder="1" applyAlignment="1" applyProtection="1">
      <alignment horizontal="left" vertical="center" wrapText="1" indent="1"/>
    </xf>
    <xf numFmtId="0" fontId="14" fillId="0" borderId="1" xfId="6" applyFont="1" applyBorder="1" applyAlignment="1" applyProtection="1">
      <alignment horizontal="left" vertical="center" wrapText="1" indent="1"/>
    </xf>
    <xf numFmtId="0" fontId="14" fillId="0" borderId="1" xfId="6" applyFont="1" applyBorder="1" applyAlignment="1" applyProtection="1">
      <alignment horizontal="justify" vertical="center" wrapText="1"/>
    </xf>
    <xf numFmtId="0" fontId="14" fillId="0" borderId="0" xfId="6" applyFont="1" applyBorder="1" applyAlignment="1" applyProtection="1">
      <alignment horizontal="center" vertical="center" wrapText="1"/>
    </xf>
    <xf numFmtId="0" fontId="14" fillId="0" borderId="1" xfId="6" applyFont="1" applyBorder="1" applyAlignment="1" applyProtection="1">
      <alignment horizontal="center" vertical="center" wrapText="1"/>
    </xf>
    <xf numFmtId="4" fontId="15" fillId="0" borderId="0" xfId="6" applyNumberFormat="1" applyFont="1" applyBorder="1" applyAlignment="1" applyProtection="1">
      <alignment horizontal="center" vertical="center" wrapText="1"/>
    </xf>
    <xf numFmtId="4" fontId="9" fillId="0" borderId="1" xfId="6" applyNumberFormat="1" applyFont="1" applyBorder="1" applyAlignment="1" applyProtection="1">
      <alignment horizontal="center" vertical="center" wrapText="1"/>
    </xf>
    <xf numFmtId="0" fontId="9" fillId="0" borderId="0" xfId="6" applyFont="1" applyBorder="1" applyAlignment="1" applyProtection="1">
      <alignment horizontal="left" vertical="center" wrapText="1" indent="1"/>
    </xf>
    <xf numFmtId="0" fontId="5" fillId="0" borderId="0" xfId="6" applyFont="1" applyAlignment="1" applyProtection="1">
      <alignment horizontal="center" vertical="center"/>
    </xf>
    <xf numFmtId="0" fontId="6" fillId="0" borderId="0" xfId="6" applyFont="1" applyAlignment="1" applyProtection="1">
      <alignment horizontal="center" vertical="center"/>
    </xf>
    <xf numFmtId="0" fontId="0" fillId="5" borderId="6" xfId="0" applyFill="1" applyBorder="1" applyProtection="1">
      <protection hidden="1"/>
    </xf>
    <xf numFmtId="0" fontId="0" fillId="5" borderId="5" xfId="0" applyFill="1" applyBorder="1" applyProtection="1">
      <protection hidden="1"/>
    </xf>
    <xf numFmtId="0" fontId="16" fillId="5" borderId="5" xfId="0" applyFont="1" applyFill="1" applyBorder="1" applyProtection="1">
      <protection hidden="1"/>
    </xf>
    <xf numFmtId="164" fontId="0" fillId="5" borderId="4" xfId="7" applyNumberFormat="1" applyFont="1" applyFill="1" applyBorder="1" applyAlignment="1" applyProtection="1">
      <alignment horizontal="center"/>
      <protection hidden="1"/>
    </xf>
    <xf numFmtId="0" fontId="20" fillId="0" borderId="0" xfId="8" applyFont="1" applyAlignment="1">
      <alignment vertical="center"/>
    </xf>
    <xf numFmtId="0" fontId="21" fillId="0" borderId="0" xfId="8" applyFont="1" applyAlignment="1">
      <alignment vertical="center" wrapText="1"/>
    </xf>
    <xf numFmtId="0" fontId="18" fillId="0" borderId="0" xfId="8" applyAlignment="1">
      <alignment vertical="center" wrapText="1"/>
    </xf>
    <xf numFmtId="0" fontId="19" fillId="0" borderId="0" xfId="8" applyFont="1" applyAlignment="1">
      <alignment vertical="center"/>
    </xf>
    <xf numFmtId="4" fontId="5" fillId="0" borderId="1" xfId="9" applyNumberFormat="1" applyFont="1" applyBorder="1" applyAlignment="1" applyProtection="1">
      <alignment horizontal="center" vertical="center" wrapText="1" shrinkToFit="1"/>
    </xf>
    <xf numFmtId="10" fontId="9" fillId="0" borderId="1" xfId="7" applyNumberFormat="1" applyFont="1" applyBorder="1" applyAlignment="1" applyProtection="1">
      <alignment horizontal="center" vertical="center" wrapText="1"/>
    </xf>
    <xf numFmtId="0" fontId="5" fillId="0" borderId="1" xfId="1" applyFont="1" applyBorder="1" applyAlignment="1" applyProtection="1">
      <alignment horizontal="left" vertical="center" wrapText="1"/>
    </xf>
    <xf numFmtId="0" fontId="21" fillId="0" borderId="0" xfId="8" applyFont="1" applyAlignment="1">
      <alignment horizontal="left" vertical="center" wrapText="1"/>
    </xf>
    <xf numFmtId="43" fontId="21" fillId="0" borderId="0" xfId="10" applyFont="1" applyAlignment="1">
      <alignment vertical="center" wrapText="1"/>
    </xf>
    <xf numFmtId="0" fontId="3" fillId="0" borderId="0" xfId="8" applyFont="1" applyAlignment="1">
      <alignment vertical="center" wrapText="1"/>
    </xf>
    <xf numFmtId="167" fontId="24" fillId="7" borderId="0" xfId="10" applyNumberFormat="1" applyFont="1" applyFill="1" applyAlignment="1">
      <alignment horizontal="center" vertical="center"/>
    </xf>
    <xf numFmtId="0" fontId="23" fillId="0" borderId="0" xfId="0" applyFont="1" applyAlignment="1">
      <alignment vertical="center"/>
    </xf>
    <xf numFmtId="164" fontId="23" fillId="0" borderId="0" xfId="7" applyNumberFormat="1" applyFont="1" applyAlignment="1">
      <alignment horizontal="left" vertical="center"/>
    </xf>
    <xf numFmtId="9" fontId="23" fillId="7" borderId="0" xfId="7" applyFont="1" applyFill="1" applyAlignment="1">
      <alignment horizontal="center" vertical="center"/>
    </xf>
    <xf numFmtId="167" fontId="23" fillId="9" borderId="0" xfId="0" applyNumberFormat="1" applyFont="1" applyFill="1" applyAlignment="1">
      <alignment horizontal="center" vertical="center"/>
    </xf>
    <xf numFmtId="10" fontId="23" fillId="4" borderId="0" xfId="7" applyNumberFormat="1" applyFont="1" applyFill="1" applyAlignment="1">
      <alignment horizontal="center" vertical="center"/>
    </xf>
    <xf numFmtId="4" fontId="23" fillId="4" borderId="0" xfId="7" applyNumberFormat="1" applyFont="1" applyFill="1" applyAlignment="1">
      <alignment horizontal="center" vertical="center"/>
    </xf>
    <xf numFmtId="168" fontId="23" fillId="9" borderId="0" xfId="0" applyNumberFormat="1" applyFont="1" applyFill="1" applyAlignment="1">
      <alignment horizontal="center" vertical="center"/>
    </xf>
    <xf numFmtId="9" fontId="19" fillId="4" borderId="0" xfId="8" applyNumberFormat="1" applyFont="1" applyFill="1" applyAlignment="1">
      <alignment horizontal="center" vertical="center"/>
    </xf>
    <xf numFmtId="164" fontId="21" fillId="8" borderId="0" xfId="8" applyNumberFormat="1" applyFont="1" applyFill="1" applyAlignment="1">
      <alignment horizontal="center" vertical="center" wrapText="1"/>
    </xf>
    <xf numFmtId="0" fontId="16" fillId="7" borderId="0" xfId="0" applyFont="1" applyFill="1" applyProtection="1">
      <protection hidden="1"/>
    </xf>
    <xf numFmtId="0" fontId="16" fillId="7" borderId="0" xfId="0" applyFont="1" applyFill="1" applyAlignment="1" applyProtection="1">
      <alignment horizontal="center"/>
      <protection hidden="1"/>
    </xf>
    <xf numFmtId="0" fontId="9" fillId="0" borderId="5" xfId="6" applyFont="1" applyBorder="1" applyAlignment="1" applyProtection="1">
      <alignment vertical="center" wrapText="1"/>
    </xf>
    <xf numFmtId="0" fontId="8" fillId="0" borderId="0" xfId="1" applyFont="1" applyFill="1" applyBorder="1" applyAlignment="1" applyProtection="1">
      <alignment vertical="center"/>
    </xf>
    <xf numFmtId="0" fontId="5" fillId="7" borderId="1" xfId="1" applyFont="1" applyFill="1" applyBorder="1" applyAlignment="1" applyProtection="1">
      <alignment horizontal="center" vertical="center"/>
    </xf>
    <xf numFmtId="4" fontId="5" fillId="7" borderId="1" xfId="1" applyNumberFormat="1" applyFont="1" applyFill="1" applyBorder="1" applyAlignment="1" applyProtection="1">
      <alignment vertical="center"/>
    </xf>
    <xf numFmtId="4" fontId="5" fillId="7" borderId="1" xfId="1" applyNumberFormat="1" applyFont="1" applyFill="1" applyBorder="1" applyAlignment="1" applyProtection="1">
      <alignment horizontal="center" vertical="center" wrapText="1" shrinkToFit="1"/>
    </xf>
    <xf numFmtId="0" fontId="9" fillId="0" borderId="1" xfId="6" applyFont="1" applyBorder="1" applyAlignment="1" applyProtection="1">
      <alignment horizontal="left" vertical="center" wrapText="1" indent="1"/>
    </xf>
    <xf numFmtId="4" fontId="5" fillId="4" borderId="8" xfId="1" applyNumberFormat="1" applyFont="1" applyFill="1" applyBorder="1" applyAlignment="1" applyProtection="1">
      <alignment vertical="center" wrapText="1" shrinkToFit="1"/>
    </xf>
    <xf numFmtId="165" fontId="5" fillId="3" borderId="7" xfId="1" applyNumberFormat="1" applyFont="1" applyFill="1" applyBorder="1" applyAlignment="1" applyProtection="1">
      <alignment vertical="center"/>
      <protection locked="0"/>
    </xf>
    <xf numFmtId="0" fontId="16" fillId="0" borderId="0" xfId="0" applyFont="1" applyProtection="1">
      <protection hidden="1"/>
    </xf>
    <xf numFmtId="0" fontId="9" fillId="0" borderId="1" xfId="6" applyFont="1" applyBorder="1" applyAlignment="1" applyProtection="1">
      <alignment horizontal="left" vertical="center" wrapText="1" indent="1"/>
    </xf>
    <xf numFmtId="0" fontId="25" fillId="0" borderId="0" xfId="0" applyFont="1" applyAlignment="1">
      <alignment horizontal="left" vertical="center" indent="1"/>
    </xf>
    <xf numFmtId="0" fontId="9" fillId="0" borderId="9" xfId="6" applyFont="1" applyBorder="1" applyAlignment="1" applyProtection="1">
      <alignment vertical="center" wrapText="1"/>
    </xf>
    <xf numFmtId="0" fontId="5" fillId="0" borderId="1" xfId="1" applyFont="1" applyBorder="1" applyAlignment="1" applyProtection="1">
      <alignment vertical="center" wrapText="1"/>
    </xf>
    <xf numFmtId="49" fontId="5" fillId="0" borderId="1" xfId="1" applyNumberFormat="1" applyFont="1" applyBorder="1" applyAlignment="1" applyProtection="1">
      <alignment vertical="center" wrapText="1" shrinkToFit="1"/>
    </xf>
    <xf numFmtId="0" fontId="9" fillId="0" borderId="1" xfId="6" applyFont="1" applyBorder="1" applyAlignment="1" applyProtection="1">
      <alignment horizontal="left" vertical="center" wrapText="1" indent="1"/>
    </xf>
    <xf numFmtId="0" fontId="5" fillId="0" borderId="1" xfId="1" applyFont="1" applyBorder="1" applyAlignment="1" applyProtection="1">
      <alignment horizontal="left" vertical="center" wrapText="1" shrinkToFit="1"/>
    </xf>
    <xf numFmtId="0" fontId="9" fillId="0" borderId="1" xfId="6" applyFont="1" applyBorder="1" applyAlignment="1" applyProtection="1">
      <alignment horizontal="left" vertical="center" wrapText="1"/>
    </xf>
    <xf numFmtId="0" fontId="5" fillId="0" borderId="0" xfId="1" applyFont="1" applyAlignment="1" applyProtection="1">
      <alignment horizontal="justify" vertical="center" shrinkToFit="1"/>
    </xf>
    <xf numFmtId="0" fontId="28" fillId="0" borderId="0" xfId="0" applyFont="1" applyAlignment="1">
      <alignment horizontal="center" vertical="center" wrapText="1"/>
    </xf>
    <xf numFmtId="0" fontId="27" fillId="0" borderId="10" xfId="0" applyFont="1" applyBorder="1" applyAlignment="1">
      <alignment horizontal="justify" vertical="center" wrapText="1"/>
    </xf>
    <xf numFmtId="0" fontId="14" fillId="0" borderId="1" xfId="6" applyFont="1" applyBorder="1" applyAlignment="1" applyProtection="1">
      <alignment horizontal="left" vertical="top" wrapText="1" indent="1"/>
    </xf>
    <xf numFmtId="0" fontId="23" fillId="0" borderId="0" xfId="0" applyFont="1" applyAlignment="1">
      <alignment horizontal="center" vertical="center" wrapText="1"/>
    </xf>
    <xf numFmtId="0" fontId="20" fillId="6" borderId="0" xfId="8" applyFont="1" applyFill="1" applyAlignment="1">
      <alignment horizontal="center" vertical="center" wrapText="1"/>
    </xf>
    <xf numFmtId="0" fontId="4" fillId="0" borderId="0" xfId="0" applyFont="1" applyAlignment="1" applyProtection="1">
      <alignment horizontal="center"/>
      <protection hidden="1"/>
    </xf>
    <xf numFmtId="0" fontId="5" fillId="0" borderId="0" xfId="1" applyNumberFormat="1" applyFont="1" applyBorder="1" applyAlignment="1" applyProtection="1">
      <alignment horizontal="justify" vertical="center" wrapText="1" shrinkToFi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1" fillId="0" borderId="0" xfId="1" applyFont="1" applyBorder="1" applyAlignment="1" applyProtection="1">
      <alignment horizontal="left" vertical="center" wrapText="1" shrinkToFit="1"/>
    </xf>
    <xf numFmtId="43" fontId="9" fillId="0" borderId="1" xfId="10" applyFont="1" applyBorder="1" applyAlignment="1" applyProtection="1">
      <alignment horizontal="center" vertical="center" wrapText="1"/>
    </xf>
    <xf numFmtId="49" fontId="5" fillId="0" borderId="0" xfId="1" applyNumberFormat="1" applyFont="1" applyBorder="1" applyAlignment="1" applyProtection="1">
      <alignment horizontal="justify" vertical="center" wrapText="1" shrinkToFit="1"/>
    </xf>
    <xf numFmtId="49" fontId="26" fillId="0" borderId="0" xfId="1" applyNumberFormat="1" applyFont="1" applyBorder="1" applyAlignment="1" applyProtection="1">
      <alignment horizontal="center" vertical="center" wrapText="1" shrinkToFit="1"/>
    </xf>
    <xf numFmtId="0" fontId="28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wrapText="1"/>
    </xf>
    <xf numFmtId="165" fontId="9" fillId="0" borderId="1" xfId="6" applyNumberFormat="1" applyFont="1" applyBorder="1" applyAlignment="1" applyProtection="1">
      <alignment horizontal="center" vertical="center" wrapText="1"/>
    </xf>
    <xf numFmtId="0" fontId="9" fillId="0" borderId="1" xfId="6" applyFont="1" applyBorder="1" applyAlignment="1" applyProtection="1">
      <alignment horizontal="center" vertical="center" wrapText="1"/>
    </xf>
    <xf numFmtId="0" fontId="9" fillId="0" borderId="1" xfId="6" applyFont="1" applyBorder="1" applyAlignment="1" applyProtection="1">
      <alignment horizontal="left" vertical="center" wrapText="1" indent="1"/>
    </xf>
    <xf numFmtId="0" fontId="9" fillId="0" borderId="3" xfId="6" applyFont="1" applyBorder="1" applyAlignment="1" applyProtection="1">
      <alignment horizontal="left" vertical="center" wrapText="1" indent="1"/>
    </xf>
    <xf numFmtId="0" fontId="9" fillId="0" borderId="2" xfId="6" applyFont="1" applyBorder="1" applyAlignment="1" applyProtection="1">
      <alignment horizontal="left" vertical="center" wrapText="1" indent="1"/>
    </xf>
    <xf numFmtId="4" fontId="9" fillId="6" borderId="1" xfId="6" applyNumberFormat="1" applyFont="1" applyFill="1" applyBorder="1" applyAlignment="1" applyProtection="1">
      <alignment horizontal="left" vertical="center" wrapText="1" indent="1"/>
    </xf>
    <xf numFmtId="0" fontId="9" fillId="6" borderId="1" xfId="6" applyFont="1" applyFill="1" applyBorder="1" applyAlignment="1" applyProtection="1">
      <alignment horizontal="left" vertical="center" wrapText="1" indent="1"/>
    </xf>
    <xf numFmtId="4" fontId="5" fillId="0" borderId="6" xfId="1" applyNumberFormat="1" applyFont="1" applyBorder="1" applyAlignment="1" applyProtection="1">
      <alignment horizontal="center" vertical="center"/>
    </xf>
    <xf numFmtId="0" fontId="5" fillId="0" borderId="4" xfId="1" applyFont="1" applyBorder="1" applyAlignment="1" applyProtection="1">
      <alignment horizontal="center" vertical="center"/>
    </xf>
    <xf numFmtId="0" fontId="9" fillId="0" borderId="6" xfId="6" applyFont="1" applyBorder="1" applyAlignment="1" applyProtection="1">
      <alignment horizontal="center" vertical="center" wrapText="1"/>
    </xf>
    <xf numFmtId="0" fontId="9" fillId="0" borderId="4" xfId="6" applyFont="1" applyBorder="1" applyAlignment="1" applyProtection="1">
      <alignment horizontal="center" vertical="center" wrapText="1"/>
    </xf>
    <xf numFmtId="0" fontId="9" fillId="0" borderId="3" xfId="6" applyFont="1" applyBorder="1" applyAlignment="1" applyProtection="1">
      <alignment horizontal="left" vertical="center" wrapText="1"/>
    </xf>
    <xf numFmtId="0" fontId="9" fillId="0" borderId="2" xfId="6" applyFont="1" applyBorder="1" applyAlignment="1" applyProtection="1">
      <alignment horizontal="left" vertical="center" wrapText="1"/>
    </xf>
    <xf numFmtId="0" fontId="9" fillId="0" borderId="9" xfId="6" applyFont="1" applyBorder="1" applyAlignment="1" applyProtection="1">
      <alignment horizontal="center" vertical="center" wrapText="1"/>
    </xf>
    <xf numFmtId="0" fontId="6" fillId="0" borderId="0" xfId="6" applyFont="1" applyAlignment="1" applyProtection="1">
      <alignment horizontal="center" vertical="center"/>
    </xf>
    <xf numFmtId="0" fontId="5" fillId="0" borderId="0" xfId="6" applyFont="1" applyAlignment="1" applyProtection="1">
      <alignment horizontal="center" vertical="center"/>
    </xf>
    <xf numFmtId="0" fontId="6" fillId="0" borderId="0" xfId="1" applyFont="1" applyBorder="1" applyAlignment="1" applyProtection="1">
      <alignment horizontal="center" vertical="center" wrapText="1" shrinkToFit="1"/>
    </xf>
    <xf numFmtId="0" fontId="5" fillId="0" borderId="1" xfId="1" applyFont="1" applyBorder="1" applyAlignment="1" applyProtection="1">
      <alignment horizontal="center" vertical="center" wrapText="1" shrinkToFit="1"/>
    </xf>
    <xf numFmtId="49" fontId="13" fillId="0" borderId="0" xfId="1" applyNumberFormat="1" applyFont="1" applyBorder="1" applyAlignment="1" applyProtection="1">
      <alignment horizontal="justify" vertical="center" wrapText="1" shrinkToFit="1"/>
    </xf>
    <xf numFmtId="49" fontId="11" fillId="0" borderId="0" xfId="1" applyNumberFormat="1" applyFont="1" applyBorder="1" applyAlignment="1" applyProtection="1">
      <alignment horizontal="justify" vertical="center" wrapText="1" shrinkToFit="1"/>
    </xf>
    <xf numFmtId="2" fontId="9" fillId="0" borderId="1" xfId="6" applyNumberFormat="1" applyFont="1" applyBorder="1" applyAlignment="1" applyProtection="1">
      <alignment horizontal="left" vertical="center" wrapText="1"/>
    </xf>
    <xf numFmtId="0" fontId="9" fillId="0" borderId="1" xfId="6" applyFont="1" applyBorder="1" applyAlignment="1" applyProtection="1">
      <alignment horizontal="left" vertical="center" wrapText="1"/>
    </xf>
    <xf numFmtId="0" fontId="5" fillId="0" borderId="6" xfId="1" applyFont="1" applyBorder="1" applyAlignment="1" applyProtection="1">
      <alignment horizontal="center" vertical="center" wrapText="1" shrinkToFit="1"/>
    </xf>
    <xf numFmtId="0" fontId="5" fillId="0" borderId="4" xfId="1" applyFont="1" applyBorder="1" applyAlignment="1" applyProtection="1">
      <alignment horizontal="center" vertical="center" wrapText="1" shrinkToFit="1"/>
    </xf>
    <xf numFmtId="10" fontId="12" fillId="0" borderId="1" xfId="6" applyNumberFormat="1" applyFont="1" applyBorder="1" applyAlignment="1" applyProtection="1">
      <alignment horizontal="center" vertical="center" wrapText="1"/>
    </xf>
  </cellXfs>
  <cellStyles count="11">
    <cellStyle name="Обычный" xfId="0" builtinId="0"/>
    <cellStyle name="Обычный 2" xfId="1"/>
    <cellStyle name="Обычный 2 2" xfId="9"/>
    <cellStyle name="Обычный 3" xfId="8"/>
    <cellStyle name="Обычный 3 2 2" xfId="6"/>
    <cellStyle name="Обычный 5 2 2" xfId="4"/>
    <cellStyle name="Обычный_гра 2" xfId="5"/>
    <cellStyle name="Процентный" xfId="7" builtinId="5"/>
    <cellStyle name="Процентный 2" xfId="3"/>
    <cellStyle name="Финансовый" xfId="10" builtinId="3"/>
    <cellStyle name="Финансовый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0</xdr:rowOff>
        </xdr:from>
        <xdr:to>
          <xdr:col>7</xdr:col>
          <xdr:colOff>876300</xdr:colOff>
          <xdr:row>13</xdr:row>
          <xdr:rowOff>57150</xdr:rowOff>
        </xdr:to>
        <xdr:sp macro="" textlink="">
          <xdr:nvSpPr>
            <xdr:cNvPr id="2049" name="tgbZero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46"/>
  <sheetViews>
    <sheetView tabSelected="1" topLeftCell="A22" workbookViewId="0">
      <selection activeCell="B48" sqref="B48"/>
    </sheetView>
  </sheetViews>
  <sheetFormatPr defaultRowHeight="15"/>
  <cols>
    <col min="1" max="1" width="9.140625" style="63"/>
    <col min="2" max="2" width="54.28515625" style="63" customWidth="1"/>
    <col min="3" max="3" width="22.28515625" style="63" customWidth="1"/>
    <col min="4" max="4" width="15.85546875" style="63" customWidth="1"/>
    <col min="5" max="5" width="41.7109375" style="63" customWidth="1"/>
    <col min="6" max="6" width="40.7109375" style="63" customWidth="1"/>
    <col min="7" max="16384" width="9.140625" style="63"/>
  </cols>
  <sheetData>
    <row r="1" spans="2:6" ht="15.75">
      <c r="B1" s="52" t="s">
        <v>61</v>
      </c>
    </row>
    <row r="3" spans="2:6" ht="15.75">
      <c r="B3" s="96" t="s">
        <v>60</v>
      </c>
      <c r="C3" s="96"/>
    </row>
    <row r="5" spans="2:6">
      <c r="B5" s="63" t="s">
        <v>63</v>
      </c>
      <c r="C5" s="62">
        <v>2000000000</v>
      </c>
      <c r="E5" s="64" t="s">
        <v>71</v>
      </c>
      <c r="F5" s="95" t="s">
        <v>72</v>
      </c>
    </row>
    <row r="6" spans="2:6" ht="19.5" customHeight="1">
      <c r="B6" s="63" t="s">
        <v>64</v>
      </c>
      <c r="C6" s="65">
        <v>0.26</v>
      </c>
      <c r="E6" s="64" t="s">
        <v>69</v>
      </c>
      <c r="F6" s="95"/>
    </row>
    <row r="8" spans="2:6">
      <c r="B8" s="63" t="s">
        <v>62</v>
      </c>
      <c r="C8" s="66">
        <v>500000000</v>
      </c>
      <c r="E8" s="63" t="s">
        <v>70</v>
      </c>
    </row>
    <row r="10" spans="2:6" ht="17.25" customHeight="1">
      <c r="B10" s="63" t="s">
        <v>65</v>
      </c>
      <c r="C10" s="62">
        <f>C8*C6</f>
        <v>130000000</v>
      </c>
      <c r="E10" s="64" t="s">
        <v>69</v>
      </c>
    </row>
    <row r="11" spans="2:6" ht="17.25" customHeight="1">
      <c r="B11" s="63" t="s">
        <v>66</v>
      </c>
      <c r="C11" s="62">
        <f>C8-C5</f>
        <v>-1500000000</v>
      </c>
      <c r="E11" s="64" t="s">
        <v>69</v>
      </c>
    </row>
    <row r="12" spans="2:6" ht="30.75" customHeight="1">
      <c r="B12" s="63" t="s">
        <v>67</v>
      </c>
      <c r="C12" s="66">
        <f>MAX(C10:C11)</f>
        <v>130000000</v>
      </c>
      <c r="E12" s="63" t="s">
        <v>73</v>
      </c>
    </row>
    <row r="14" spans="2:6" ht="15" customHeight="1">
      <c r="B14" s="63" t="s">
        <v>68</v>
      </c>
      <c r="C14" s="67">
        <f>C12/C8</f>
        <v>0.26</v>
      </c>
      <c r="E14" s="63" t="s">
        <v>74</v>
      </c>
    </row>
    <row r="16" spans="2:6" ht="21" customHeight="1">
      <c r="B16" s="63" t="s">
        <v>0</v>
      </c>
      <c r="C16" s="68">
        <f>C8-C12</f>
        <v>370000000</v>
      </c>
      <c r="E16" s="63" t="s">
        <v>74</v>
      </c>
    </row>
    <row r="18" spans="2:5" ht="15.75">
      <c r="B18" s="63" t="s">
        <v>2</v>
      </c>
      <c r="C18" s="70">
        <f>IF(C14&gt;=0.51,24%,26%)</f>
        <v>0.26</v>
      </c>
      <c r="E18" s="63" t="s">
        <v>74</v>
      </c>
    </row>
    <row r="20" spans="2:5" ht="22.5" customHeight="1">
      <c r="B20" s="63" t="s">
        <v>75</v>
      </c>
      <c r="C20" s="69">
        <v>120</v>
      </c>
      <c r="D20" s="63" t="s">
        <v>3</v>
      </c>
      <c r="E20" s="63" t="s">
        <v>76</v>
      </c>
    </row>
    <row r="21" spans="2:5" ht="21.75" customHeight="1">
      <c r="B21" s="63" t="s">
        <v>77</v>
      </c>
      <c r="C21" s="69">
        <v>1</v>
      </c>
      <c r="D21" s="63" t="s">
        <v>3</v>
      </c>
      <c r="E21" s="63" t="s">
        <v>78</v>
      </c>
    </row>
    <row r="23" spans="2:5" ht="23.25" customHeight="1">
      <c r="B23" s="63" t="s">
        <v>52</v>
      </c>
      <c r="C23" s="62">
        <f>C8</f>
        <v>500000000</v>
      </c>
      <c r="E23" s="64" t="s">
        <v>79</v>
      </c>
    </row>
    <row r="25" spans="2:5" ht="18" customHeight="1"/>
    <row r="26" spans="2:5">
      <c r="B26" s="61" t="s">
        <v>40</v>
      </c>
      <c r="C26" s="59"/>
    </row>
    <row r="27" spans="2:5" ht="22.5" customHeight="1">
      <c r="B27" s="54" t="s">
        <v>41</v>
      </c>
      <c r="C27" s="71">
        <v>5.0000000000000001E-4</v>
      </c>
      <c r="D27" s="63" t="s">
        <v>81</v>
      </c>
      <c r="E27" s="63" t="s">
        <v>80</v>
      </c>
    </row>
    <row r="28" spans="2:5">
      <c r="B28" s="63" t="s">
        <v>42</v>
      </c>
      <c r="C28" s="62">
        <f>Рассчет!C16*125%*C27/12*Рассчет!C20</f>
        <v>2312500</v>
      </c>
      <c r="E28" s="63" t="s">
        <v>87</v>
      </c>
    </row>
    <row r="29" spans="2:5">
      <c r="B29" s="63" t="s">
        <v>43</v>
      </c>
      <c r="C29" s="62">
        <f>IF(Рассчет!C23&gt;=270000*5000,(499000+0.5*270000),IF(Рассчет!C23&gt;=270000*1000,499000,270000))</f>
        <v>499000</v>
      </c>
      <c r="E29" s="63" t="s">
        <v>87</v>
      </c>
    </row>
    <row r="30" spans="2:5">
      <c r="B30" s="63" t="s">
        <v>44</v>
      </c>
      <c r="C30" s="62">
        <v>500000</v>
      </c>
      <c r="E30" s="63" t="s">
        <v>87</v>
      </c>
    </row>
    <row r="31" spans="2:5">
      <c r="B31" s="63" t="s">
        <v>57</v>
      </c>
      <c r="C31" s="62">
        <v>337500</v>
      </c>
      <c r="E31" s="63" t="s">
        <v>87</v>
      </c>
    </row>
    <row r="32" spans="2:5">
      <c r="B32" s="63" t="s">
        <v>49</v>
      </c>
      <c r="C32" s="66">
        <v>500000</v>
      </c>
      <c r="E32" s="63" t="s">
        <v>88</v>
      </c>
    </row>
    <row r="33" spans="2:5" ht="15.75">
      <c r="B33" s="55"/>
      <c r="C33" s="60"/>
    </row>
    <row r="34" spans="2:5" ht="15.75">
      <c r="B34" s="52" t="s">
        <v>45</v>
      </c>
      <c r="C34" s="55"/>
    </row>
    <row r="35" spans="2:5" ht="15.75">
      <c r="B35" s="52"/>
      <c r="C35" s="55"/>
      <c r="E35" s="84"/>
    </row>
    <row r="36" spans="2:5">
      <c r="B36" s="53" t="s">
        <v>46</v>
      </c>
      <c r="C36" s="53"/>
      <c r="E36" s="84"/>
    </row>
    <row r="37" spans="2:5">
      <c r="B37" s="54" t="s">
        <v>47</v>
      </c>
      <c r="C37" s="54"/>
      <c r="E37" s="84"/>
    </row>
    <row r="38" spans="2:5">
      <c r="B38" s="54" t="s">
        <v>48</v>
      </c>
      <c r="C38" s="54"/>
      <c r="E38" s="84"/>
    </row>
    <row r="40" spans="2:5">
      <c r="B40" s="63" t="s">
        <v>122</v>
      </c>
    </row>
    <row r="41" spans="2:5">
      <c r="B41" s="63" t="s">
        <v>123</v>
      </c>
    </row>
    <row r="42" spans="2:5">
      <c r="B42" s="63" t="s">
        <v>124</v>
      </c>
    </row>
    <row r="43" spans="2:5">
      <c r="B43" s="63" t="s">
        <v>125</v>
      </c>
    </row>
    <row r="44" spans="2:5">
      <c r="B44" s="63" t="s">
        <v>126</v>
      </c>
    </row>
    <row r="45" spans="2:5">
      <c r="B45" s="63" t="s">
        <v>127</v>
      </c>
    </row>
    <row r="46" spans="2:5">
      <c r="B46" s="63" t="s">
        <v>128</v>
      </c>
    </row>
  </sheetData>
  <mergeCells count="2">
    <mergeCell ref="F5:F6"/>
    <mergeCell ref="B3:C3"/>
  </mergeCells>
  <dataValidations count="2">
    <dataValidation type="whole" allowBlank="1" showInputMessage="1" showErrorMessage="1" sqref="C21">
      <formula1>0</formula1>
      <formula2>3</formula2>
    </dataValidation>
    <dataValidation type="whole" allowBlank="1" showInputMessage="1" showErrorMessage="1" sqref="C20">
      <formula1>1</formula1>
      <formula2>120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92D050"/>
    <pageSetUpPr fitToPage="1"/>
  </sheetPr>
  <dimension ref="A1:K134"/>
  <sheetViews>
    <sheetView topLeftCell="A109" zoomScale="115" zoomScaleNormal="115" zoomScalePageLayoutView="145" workbookViewId="0">
      <selection activeCell="E134" sqref="E134"/>
    </sheetView>
  </sheetViews>
  <sheetFormatPr defaultColWidth="9.140625" defaultRowHeight="15" customHeight="1"/>
  <cols>
    <col min="1" max="1" width="8" style="1" customWidth="1"/>
    <col min="2" max="2" width="17.5703125" style="1" customWidth="1"/>
    <col min="3" max="3" width="17.7109375" style="1" customWidth="1"/>
    <col min="4" max="4" width="16.7109375" style="1" customWidth="1"/>
    <col min="5" max="5" width="17.42578125" style="1" bestFit="1" customWidth="1"/>
    <col min="6" max="6" width="9.140625" style="1"/>
    <col min="7" max="8" width="14" style="1" customWidth="1"/>
    <col min="9" max="9" width="16.140625" style="1" customWidth="1"/>
    <col min="10" max="10" width="9.140625" style="1"/>
    <col min="11" max="11" width="48.7109375" style="1" customWidth="1"/>
    <col min="12" max="16384" width="9.140625" style="1"/>
  </cols>
  <sheetData>
    <row r="1" spans="1:11" ht="15" customHeight="1">
      <c r="A1" s="97" t="s">
        <v>16</v>
      </c>
      <c r="B1" s="97"/>
      <c r="C1" s="97"/>
      <c r="D1" s="97"/>
      <c r="E1" s="97"/>
    </row>
    <row r="2" spans="1:11" ht="15" customHeight="1">
      <c r="B2" s="17" t="s">
        <v>15</v>
      </c>
      <c r="D2" s="22">
        <f ca="1">TODAY()</f>
        <v>44545</v>
      </c>
      <c r="E2" s="21"/>
    </row>
    <row r="3" spans="1:11" ht="15" customHeight="1">
      <c r="B3" s="17" t="s">
        <v>14</v>
      </c>
      <c r="D3" s="20">
        <f ca="1">DATE(YEAR(D2),MONTH(D2)+D7,DAY(D2)-1)</f>
        <v>48196</v>
      </c>
      <c r="E3" s="11"/>
    </row>
    <row r="4" spans="1:11" ht="15" customHeight="1">
      <c r="B4" s="17" t="s">
        <v>13</v>
      </c>
      <c r="D4" s="75" t="str">
        <f>Рассчет!B1</f>
        <v>Ипотека "КОМФОРТНЫЙ ДОМ"</v>
      </c>
      <c r="E4" s="75"/>
      <c r="F4" s="14"/>
    </row>
    <row r="5" spans="1:11" ht="15.75">
      <c r="B5" s="17" t="s">
        <v>12</v>
      </c>
      <c r="D5" s="75" t="s">
        <v>82</v>
      </c>
      <c r="E5" s="74"/>
    </row>
    <row r="6" spans="1:11" ht="15" customHeight="1">
      <c r="B6" s="17" t="s">
        <v>0</v>
      </c>
      <c r="D6" s="19">
        <f>Рассчет!C16</f>
        <v>370000000</v>
      </c>
      <c r="E6" s="15"/>
    </row>
    <row r="7" spans="1:11" ht="15" customHeight="1" thickBot="1">
      <c r="B7" s="17" t="s">
        <v>1</v>
      </c>
      <c r="D7" s="16">
        <f>Рассчет!C20</f>
        <v>120</v>
      </c>
      <c r="E7" s="15" t="s">
        <v>11</v>
      </c>
      <c r="I7" s="80">
        <f>LOOKUP(9E+307,1/E13:E132,E13:E132)</f>
        <v>8695046.7899998073</v>
      </c>
      <c r="J7" s="82" t="s">
        <v>86</v>
      </c>
    </row>
    <row r="8" spans="1:11" ht="15" customHeight="1">
      <c r="B8" s="17" t="s">
        <v>4</v>
      </c>
      <c r="D8" s="16">
        <f>Рассчет!C21</f>
        <v>1</v>
      </c>
      <c r="E8" s="15" t="s">
        <v>11</v>
      </c>
      <c r="I8" s="81">
        <f>ROUND(PMT(D9%/12,D7-D8,-D6),2)</f>
        <v>8695048.7200000007</v>
      </c>
      <c r="J8" s="82" t="s">
        <v>38</v>
      </c>
    </row>
    <row r="9" spans="1:11" ht="15" customHeight="1">
      <c r="B9" s="17" t="s">
        <v>2</v>
      </c>
      <c r="D9" s="18">
        <f>Рассчет!C18*100</f>
        <v>26</v>
      </c>
      <c r="E9" s="15" t="s">
        <v>10</v>
      </c>
    </row>
    <row r="10" spans="1:11" ht="15" customHeight="1">
      <c r="B10" s="17" t="s">
        <v>9</v>
      </c>
      <c r="D10" s="16" t="s">
        <v>38</v>
      </c>
      <c r="E10" s="15"/>
      <c r="I10" s="73" t="s">
        <v>83</v>
      </c>
    </row>
    <row r="11" spans="1:11" ht="12.75">
      <c r="A11" s="2" t="s">
        <v>84</v>
      </c>
      <c r="B11" s="2" t="s">
        <v>5</v>
      </c>
      <c r="C11" s="2" t="s">
        <v>6</v>
      </c>
      <c r="D11" s="2" t="s">
        <v>7</v>
      </c>
      <c r="E11" s="2" t="s">
        <v>8</v>
      </c>
      <c r="I11" s="2" t="s">
        <v>15</v>
      </c>
    </row>
    <row r="12" spans="1:11" ht="15.75">
      <c r="A12" s="76">
        <v>0</v>
      </c>
      <c r="B12" s="77"/>
      <c r="C12" s="78"/>
      <c r="D12" s="78"/>
      <c r="E12" s="78">
        <f>-D6+SUM(Рассчет!C28:C32)</f>
        <v>-365851000</v>
      </c>
      <c r="I12" s="13">
        <f ca="1">D2</f>
        <v>44545</v>
      </c>
      <c r="K12" s="72" t="s">
        <v>85</v>
      </c>
    </row>
    <row r="13" spans="1:11" ht="15.75">
      <c r="A13" s="3">
        <v>1</v>
      </c>
      <c r="B13" s="12">
        <f>D6</f>
        <v>370000000</v>
      </c>
      <c r="C13" s="10">
        <f t="shared" ref="C13:C44" si="0">IF(A13=0,0,IF(A13=$D$7,B13,IF(A13&lt;=$D$8,0,$I$8-D13)))</f>
        <v>0</v>
      </c>
      <c r="D13" s="10">
        <f t="shared" ref="D13:D44" si="1">ROUND(B13*$D$9%/12,2)</f>
        <v>8016666.6699999999</v>
      </c>
      <c r="E13" s="56">
        <f>C13+D13</f>
        <v>8016666.6699999999</v>
      </c>
      <c r="I13" s="13">
        <f ca="1">IF(A13=0,0,IF(A13=$D$7,$D$3,DATE(YEAR(I12),MONTH(I12)+1,DAY(I12-1))))</f>
        <v>44575</v>
      </c>
    </row>
    <row r="14" spans="1:11" ht="15" customHeight="1">
      <c r="A14" s="3">
        <f t="shared" ref="A14:A45" si="2">IF(A13=0,0,IF(A13&lt;$D$7,A13+1,0))</f>
        <v>2</v>
      </c>
      <c r="B14" s="12">
        <f t="shared" ref="B14:B45" si="3">IF(A14&gt;$D$7,"",B13-C13)</f>
        <v>370000000</v>
      </c>
      <c r="C14" s="10">
        <f t="shared" si="0"/>
        <v>678382.05000000075</v>
      </c>
      <c r="D14" s="10">
        <f t="shared" si="1"/>
        <v>8016666.6699999999</v>
      </c>
      <c r="E14" s="56">
        <f t="shared" ref="E14:E77" si="4">C14+D14</f>
        <v>8695048.7200000007</v>
      </c>
      <c r="I14" s="13">
        <f t="shared" ref="I14:I45" ca="1" si="5">IF(A14=0,0,IF(A14=$D$7,$D$3,DATE(YEAR(I13),MONTH(I13)+1,DAY(I13))))</f>
        <v>44606</v>
      </c>
    </row>
    <row r="15" spans="1:11" ht="15" customHeight="1">
      <c r="A15" s="3">
        <f t="shared" si="2"/>
        <v>3</v>
      </c>
      <c r="B15" s="12">
        <f t="shared" si="3"/>
        <v>369321617.94999999</v>
      </c>
      <c r="C15" s="10">
        <f t="shared" si="0"/>
        <v>693080.33000000101</v>
      </c>
      <c r="D15" s="10">
        <f t="shared" si="1"/>
        <v>8001968.3899999997</v>
      </c>
      <c r="E15" s="56">
        <f t="shared" si="4"/>
        <v>8695048.7200000007</v>
      </c>
      <c r="I15" s="13">
        <f t="shared" ca="1" si="5"/>
        <v>44634</v>
      </c>
    </row>
    <row r="16" spans="1:11" ht="15" customHeight="1">
      <c r="A16" s="3">
        <f t="shared" si="2"/>
        <v>4</v>
      </c>
      <c r="B16" s="12">
        <f t="shared" si="3"/>
        <v>368628537.62</v>
      </c>
      <c r="C16" s="10">
        <f t="shared" si="0"/>
        <v>708097.0700000003</v>
      </c>
      <c r="D16" s="10">
        <f t="shared" si="1"/>
        <v>7986951.6500000004</v>
      </c>
      <c r="E16" s="56">
        <f t="shared" si="4"/>
        <v>8695048.7200000007</v>
      </c>
      <c r="I16" s="13">
        <f t="shared" ca="1" si="5"/>
        <v>44665</v>
      </c>
    </row>
    <row r="17" spans="1:9" ht="15" customHeight="1">
      <c r="A17" s="3">
        <f t="shared" si="2"/>
        <v>5</v>
      </c>
      <c r="B17" s="12">
        <f t="shared" si="3"/>
        <v>367920440.55000001</v>
      </c>
      <c r="C17" s="10">
        <f t="shared" si="0"/>
        <v>723439.17000000086</v>
      </c>
      <c r="D17" s="10">
        <f t="shared" si="1"/>
        <v>7971609.5499999998</v>
      </c>
      <c r="E17" s="56">
        <f t="shared" si="4"/>
        <v>8695048.7200000007</v>
      </c>
      <c r="I17" s="13">
        <f t="shared" ca="1" si="5"/>
        <v>44695</v>
      </c>
    </row>
    <row r="18" spans="1:9" ht="15" customHeight="1">
      <c r="A18" s="3">
        <f t="shared" si="2"/>
        <v>6</v>
      </c>
      <c r="B18" s="12">
        <f t="shared" si="3"/>
        <v>367197001.38</v>
      </c>
      <c r="C18" s="10">
        <f t="shared" si="0"/>
        <v>739113.69000000041</v>
      </c>
      <c r="D18" s="10">
        <f t="shared" si="1"/>
        <v>7955935.0300000003</v>
      </c>
      <c r="E18" s="56">
        <f t="shared" si="4"/>
        <v>8695048.7200000007</v>
      </c>
      <c r="I18" s="13">
        <f t="shared" ca="1" si="5"/>
        <v>44726</v>
      </c>
    </row>
    <row r="19" spans="1:9" ht="15" customHeight="1">
      <c r="A19" s="3">
        <f t="shared" si="2"/>
        <v>7</v>
      </c>
      <c r="B19" s="12">
        <f t="shared" si="3"/>
        <v>366457887.69</v>
      </c>
      <c r="C19" s="10">
        <f t="shared" si="0"/>
        <v>755127.8200000003</v>
      </c>
      <c r="D19" s="10">
        <f t="shared" si="1"/>
        <v>7939920.9000000004</v>
      </c>
      <c r="E19" s="56">
        <f t="shared" si="4"/>
        <v>8695048.7200000007</v>
      </c>
      <c r="I19" s="13">
        <f t="shared" ca="1" si="5"/>
        <v>44756</v>
      </c>
    </row>
    <row r="20" spans="1:9" ht="15" customHeight="1">
      <c r="A20" s="3">
        <f t="shared" si="2"/>
        <v>8</v>
      </c>
      <c r="B20" s="12">
        <f t="shared" si="3"/>
        <v>365702759.87</v>
      </c>
      <c r="C20" s="10">
        <f t="shared" si="0"/>
        <v>771488.92000000086</v>
      </c>
      <c r="D20" s="10">
        <f t="shared" si="1"/>
        <v>7923559.7999999998</v>
      </c>
      <c r="E20" s="56">
        <f t="shared" si="4"/>
        <v>8695048.7200000007</v>
      </c>
      <c r="I20" s="13">
        <f t="shared" ca="1" si="5"/>
        <v>44787</v>
      </c>
    </row>
    <row r="21" spans="1:9" ht="15" customHeight="1">
      <c r="A21" s="3">
        <f t="shared" si="2"/>
        <v>9</v>
      </c>
      <c r="B21" s="12">
        <f t="shared" si="3"/>
        <v>364931270.94999999</v>
      </c>
      <c r="C21" s="10">
        <f t="shared" si="0"/>
        <v>788204.52000000048</v>
      </c>
      <c r="D21" s="10">
        <f t="shared" si="1"/>
        <v>7906844.2000000002</v>
      </c>
      <c r="E21" s="56">
        <f t="shared" si="4"/>
        <v>8695048.7200000007</v>
      </c>
      <c r="I21" s="13">
        <f t="shared" ca="1" si="5"/>
        <v>44818</v>
      </c>
    </row>
    <row r="22" spans="1:9" ht="15" customHeight="1">
      <c r="A22" s="3">
        <f t="shared" si="2"/>
        <v>10</v>
      </c>
      <c r="B22" s="12">
        <f t="shared" si="3"/>
        <v>364143066.43000001</v>
      </c>
      <c r="C22" s="10">
        <f t="shared" si="0"/>
        <v>805282.28000000026</v>
      </c>
      <c r="D22" s="10">
        <f t="shared" si="1"/>
        <v>7889766.4400000004</v>
      </c>
      <c r="E22" s="56">
        <f t="shared" si="4"/>
        <v>8695048.7200000007</v>
      </c>
      <c r="I22" s="13">
        <f t="shared" ca="1" si="5"/>
        <v>44848</v>
      </c>
    </row>
    <row r="23" spans="1:9" ht="15" customHeight="1">
      <c r="A23" s="3">
        <f t="shared" si="2"/>
        <v>11</v>
      </c>
      <c r="B23" s="12">
        <f t="shared" si="3"/>
        <v>363337784.15000004</v>
      </c>
      <c r="C23" s="10">
        <f t="shared" si="0"/>
        <v>822730.06000000052</v>
      </c>
      <c r="D23" s="10">
        <f t="shared" si="1"/>
        <v>7872318.6600000001</v>
      </c>
      <c r="E23" s="56">
        <f t="shared" si="4"/>
        <v>8695048.7200000007</v>
      </c>
      <c r="I23" s="13">
        <f t="shared" ca="1" si="5"/>
        <v>44879</v>
      </c>
    </row>
    <row r="24" spans="1:9" ht="15" customHeight="1">
      <c r="A24" s="3">
        <f t="shared" si="2"/>
        <v>12</v>
      </c>
      <c r="B24" s="12">
        <f t="shared" si="3"/>
        <v>362515054.09000003</v>
      </c>
      <c r="C24" s="10">
        <f t="shared" si="0"/>
        <v>840555.88000000082</v>
      </c>
      <c r="D24" s="10">
        <f t="shared" si="1"/>
        <v>7854492.8399999999</v>
      </c>
      <c r="E24" s="56">
        <f t="shared" si="4"/>
        <v>8695048.7200000007</v>
      </c>
      <c r="I24" s="13">
        <f t="shared" ca="1" si="5"/>
        <v>44909</v>
      </c>
    </row>
    <row r="25" spans="1:9" ht="15" customHeight="1">
      <c r="A25" s="3">
        <f t="shared" si="2"/>
        <v>13</v>
      </c>
      <c r="B25" s="12">
        <f t="shared" si="3"/>
        <v>361674498.21000004</v>
      </c>
      <c r="C25" s="10">
        <f t="shared" si="0"/>
        <v>858767.93000000063</v>
      </c>
      <c r="D25" s="10">
        <f t="shared" si="1"/>
        <v>7836280.79</v>
      </c>
      <c r="E25" s="56">
        <f t="shared" si="4"/>
        <v>8695048.7200000007</v>
      </c>
      <c r="I25" s="13">
        <f t="shared" ca="1" si="5"/>
        <v>44940</v>
      </c>
    </row>
    <row r="26" spans="1:9" ht="15" customHeight="1">
      <c r="A26" s="3">
        <f t="shared" si="2"/>
        <v>14</v>
      </c>
      <c r="B26" s="12">
        <f t="shared" si="3"/>
        <v>360815730.28000003</v>
      </c>
      <c r="C26" s="10">
        <f t="shared" si="0"/>
        <v>877374.56000000052</v>
      </c>
      <c r="D26" s="10">
        <f t="shared" si="1"/>
        <v>7817674.1600000001</v>
      </c>
      <c r="E26" s="56">
        <f t="shared" si="4"/>
        <v>8695048.7200000007</v>
      </c>
      <c r="I26" s="13">
        <f t="shared" ca="1" si="5"/>
        <v>44971</v>
      </c>
    </row>
    <row r="27" spans="1:9" ht="15" customHeight="1">
      <c r="A27" s="3">
        <f t="shared" si="2"/>
        <v>15</v>
      </c>
      <c r="B27" s="12">
        <f t="shared" si="3"/>
        <v>359938355.72000003</v>
      </c>
      <c r="C27" s="10">
        <f t="shared" si="0"/>
        <v>896384.35000000056</v>
      </c>
      <c r="D27" s="10">
        <f t="shared" si="1"/>
        <v>7798664.3700000001</v>
      </c>
      <c r="E27" s="56">
        <f t="shared" si="4"/>
        <v>8695048.7200000007</v>
      </c>
      <c r="I27" s="13">
        <f t="shared" ca="1" si="5"/>
        <v>44999</v>
      </c>
    </row>
    <row r="28" spans="1:9" ht="15" customHeight="1">
      <c r="A28" s="3">
        <f t="shared" si="2"/>
        <v>16</v>
      </c>
      <c r="B28" s="12">
        <f t="shared" si="3"/>
        <v>359041971.37</v>
      </c>
      <c r="C28" s="10">
        <f t="shared" si="0"/>
        <v>915806.01000000071</v>
      </c>
      <c r="D28" s="10">
        <f t="shared" si="1"/>
        <v>7779242.71</v>
      </c>
      <c r="E28" s="56">
        <f t="shared" si="4"/>
        <v>8695048.7200000007</v>
      </c>
      <c r="I28" s="13">
        <f t="shared" ca="1" si="5"/>
        <v>45030</v>
      </c>
    </row>
    <row r="29" spans="1:9" ht="15" customHeight="1">
      <c r="A29" s="3">
        <f t="shared" si="2"/>
        <v>17</v>
      </c>
      <c r="B29" s="12">
        <f t="shared" si="3"/>
        <v>358126165.36000001</v>
      </c>
      <c r="C29" s="10">
        <f t="shared" si="0"/>
        <v>935648.47000000067</v>
      </c>
      <c r="D29" s="10">
        <f t="shared" si="1"/>
        <v>7759400.25</v>
      </c>
      <c r="E29" s="56">
        <f t="shared" si="4"/>
        <v>8695048.7200000007</v>
      </c>
      <c r="I29" s="13">
        <f t="shared" ca="1" si="5"/>
        <v>45060</v>
      </c>
    </row>
    <row r="30" spans="1:9" ht="15" customHeight="1">
      <c r="A30" s="3">
        <f t="shared" si="2"/>
        <v>18</v>
      </c>
      <c r="B30" s="12">
        <f t="shared" si="3"/>
        <v>357190516.88999999</v>
      </c>
      <c r="C30" s="10">
        <f t="shared" si="0"/>
        <v>955920.85000000056</v>
      </c>
      <c r="D30" s="10">
        <f t="shared" si="1"/>
        <v>7739127.8700000001</v>
      </c>
      <c r="E30" s="56">
        <f t="shared" si="4"/>
        <v>8695048.7200000007</v>
      </c>
      <c r="I30" s="13">
        <f t="shared" ca="1" si="5"/>
        <v>45091</v>
      </c>
    </row>
    <row r="31" spans="1:9" ht="15" customHeight="1">
      <c r="A31" s="3">
        <f t="shared" si="2"/>
        <v>19</v>
      </c>
      <c r="B31" s="12">
        <f t="shared" si="3"/>
        <v>356234596.03999996</v>
      </c>
      <c r="C31" s="10">
        <f t="shared" si="0"/>
        <v>976632.47000000067</v>
      </c>
      <c r="D31" s="10">
        <f t="shared" si="1"/>
        <v>7718416.25</v>
      </c>
      <c r="E31" s="56">
        <f t="shared" si="4"/>
        <v>8695048.7200000007</v>
      </c>
      <c r="I31" s="13">
        <f t="shared" ca="1" si="5"/>
        <v>45121</v>
      </c>
    </row>
    <row r="32" spans="1:9" ht="15" customHeight="1">
      <c r="A32" s="3">
        <f t="shared" si="2"/>
        <v>20</v>
      </c>
      <c r="B32" s="12">
        <f t="shared" si="3"/>
        <v>355257963.56999993</v>
      </c>
      <c r="C32" s="10">
        <f t="shared" si="0"/>
        <v>997792.84000000078</v>
      </c>
      <c r="D32" s="10">
        <f t="shared" si="1"/>
        <v>7697255.8799999999</v>
      </c>
      <c r="E32" s="56">
        <f t="shared" si="4"/>
        <v>8695048.7200000007</v>
      </c>
      <c r="I32" s="13">
        <f t="shared" ca="1" si="5"/>
        <v>45152</v>
      </c>
    </row>
    <row r="33" spans="1:9" ht="15" customHeight="1">
      <c r="A33" s="3">
        <f t="shared" si="2"/>
        <v>21</v>
      </c>
      <c r="B33" s="12">
        <f t="shared" si="3"/>
        <v>354260170.72999996</v>
      </c>
      <c r="C33" s="10">
        <f t="shared" si="0"/>
        <v>1019411.6900000004</v>
      </c>
      <c r="D33" s="10">
        <f t="shared" si="1"/>
        <v>7675637.0300000003</v>
      </c>
      <c r="E33" s="56">
        <f t="shared" si="4"/>
        <v>8695048.7200000007</v>
      </c>
      <c r="I33" s="13">
        <f t="shared" ca="1" si="5"/>
        <v>45183</v>
      </c>
    </row>
    <row r="34" spans="1:9" ht="15" customHeight="1">
      <c r="A34" s="3">
        <f t="shared" si="2"/>
        <v>22</v>
      </c>
      <c r="B34" s="12">
        <f t="shared" si="3"/>
        <v>353240759.03999996</v>
      </c>
      <c r="C34" s="10">
        <f t="shared" si="0"/>
        <v>1041498.9400000004</v>
      </c>
      <c r="D34" s="10">
        <f t="shared" si="1"/>
        <v>7653549.7800000003</v>
      </c>
      <c r="E34" s="56">
        <f t="shared" si="4"/>
        <v>8695048.7200000007</v>
      </c>
      <c r="I34" s="13">
        <f t="shared" ca="1" si="5"/>
        <v>45213</v>
      </c>
    </row>
    <row r="35" spans="1:9" ht="15" customHeight="1">
      <c r="A35" s="3">
        <f t="shared" si="2"/>
        <v>23</v>
      </c>
      <c r="B35" s="12">
        <f t="shared" si="3"/>
        <v>352199260.09999996</v>
      </c>
      <c r="C35" s="10">
        <f t="shared" si="0"/>
        <v>1064064.7500000009</v>
      </c>
      <c r="D35" s="10">
        <f t="shared" si="1"/>
        <v>7630983.9699999997</v>
      </c>
      <c r="E35" s="56">
        <f t="shared" si="4"/>
        <v>8695048.7200000007</v>
      </c>
      <c r="I35" s="13">
        <f t="shared" ca="1" si="5"/>
        <v>45244</v>
      </c>
    </row>
    <row r="36" spans="1:9" ht="15.75">
      <c r="A36" s="3">
        <f t="shared" si="2"/>
        <v>24</v>
      </c>
      <c r="B36" s="12">
        <f t="shared" si="3"/>
        <v>351135195.34999996</v>
      </c>
      <c r="C36" s="10">
        <f t="shared" si="0"/>
        <v>1087119.4900000002</v>
      </c>
      <c r="D36" s="10">
        <f t="shared" si="1"/>
        <v>7607929.2300000004</v>
      </c>
      <c r="E36" s="56">
        <f t="shared" si="4"/>
        <v>8695048.7200000007</v>
      </c>
      <c r="I36" s="13">
        <f t="shared" ca="1" si="5"/>
        <v>45274</v>
      </c>
    </row>
    <row r="37" spans="1:9" ht="15.75">
      <c r="A37" s="3">
        <f t="shared" si="2"/>
        <v>25</v>
      </c>
      <c r="B37" s="12">
        <f t="shared" si="3"/>
        <v>350048075.85999995</v>
      </c>
      <c r="C37" s="10">
        <f t="shared" si="0"/>
        <v>1110673.7400000002</v>
      </c>
      <c r="D37" s="10">
        <f t="shared" si="1"/>
        <v>7584374.9800000004</v>
      </c>
      <c r="E37" s="56">
        <f t="shared" si="4"/>
        <v>8695048.7200000007</v>
      </c>
      <c r="I37" s="13">
        <f t="shared" ca="1" si="5"/>
        <v>45305</v>
      </c>
    </row>
    <row r="38" spans="1:9" ht="15.75">
      <c r="A38" s="3">
        <f t="shared" si="2"/>
        <v>26</v>
      </c>
      <c r="B38" s="12">
        <f t="shared" si="3"/>
        <v>348937402.11999995</v>
      </c>
      <c r="C38" s="10">
        <f t="shared" si="0"/>
        <v>1134738.3400000008</v>
      </c>
      <c r="D38" s="10">
        <f t="shared" si="1"/>
        <v>7560310.3799999999</v>
      </c>
      <c r="E38" s="56">
        <f t="shared" si="4"/>
        <v>8695048.7200000007</v>
      </c>
      <c r="I38" s="13">
        <f t="shared" ca="1" si="5"/>
        <v>45336</v>
      </c>
    </row>
    <row r="39" spans="1:9" ht="15.75">
      <c r="A39" s="3">
        <f t="shared" si="2"/>
        <v>27</v>
      </c>
      <c r="B39" s="12">
        <f t="shared" si="3"/>
        <v>347802663.77999997</v>
      </c>
      <c r="C39" s="10">
        <f t="shared" si="0"/>
        <v>1159324.3400000008</v>
      </c>
      <c r="D39" s="10">
        <f t="shared" si="1"/>
        <v>7535724.3799999999</v>
      </c>
      <c r="E39" s="56">
        <f t="shared" si="4"/>
        <v>8695048.7200000007</v>
      </c>
      <c r="I39" s="13">
        <f t="shared" ca="1" si="5"/>
        <v>45365</v>
      </c>
    </row>
    <row r="40" spans="1:9" ht="15.75">
      <c r="A40" s="3">
        <f t="shared" si="2"/>
        <v>28</v>
      </c>
      <c r="B40" s="12">
        <f t="shared" si="3"/>
        <v>346643339.44</v>
      </c>
      <c r="C40" s="10">
        <f t="shared" si="0"/>
        <v>1184443.0300000003</v>
      </c>
      <c r="D40" s="10">
        <f t="shared" si="1"/>
        <v>7510605.6900000004</v>
      </c>
      <c r="E40" s="56">
        <f t="shared" si="4"/>
        <v>8695048.7200000007</v>
      </c>
      <c r="I40" s="13">
        <f t="shared" ca="1" si="5"/>
        <v>45396</v>
      </c>
    </row>
    <row r="41" spans="1:9" ht="15.75">
      <c r="A41" s="3">
        <f t="shared" si="2"/>
        <v>29</v>
      </c>
      <c r="B41" s="12">
        <f t="shared" si="3"/>
        <v>345458896.41000003</v>
      </c>
      <c r="C41" s="10">
        <f t="shared" si="0"/>
        <v>1210105.9600000009</v>
      </c>
      <c r="D41" s="10">
        <f t="shared" si="1"/>
        <v>7484942.7599999998</v>
      </c>
      <c r="E41" s="56">
        <f t="shared" si="4"/>
        <v>8695048.7200000007</v>
      </c>
      <c r="I41" s="13">
        <f t="shared" ca="1" si="5"/>
        <v>45426</v>
      </c>
    </row>
    <row r="42" spans="1:9" ht="15.75">
      <c r="A42" s="3">
        <f t="shared" si="2"/>
        <v>30</v>
      </c>
      <c r="B42" s="12">
        <f t="shared" si="3"/>
        <v>344248790.45000005</v>
      </c>
      <c r="C42" s="10">
        <f t="shared" si="0"/>
        <v>1236324.9300000006</v>
      </c>
      <c r="D42" s="10">
        <f t="shared" si="1"/>
        <v>7458723.79</v>
      </c>
      <c r="E42" s="56">
        <f t="shared" si="4"/>
        <v>8695048.7200000007</v>
      </c>
      <c r="I42" s="13">
        <f t="shared" ca="1" si="5"/>
        <v>45457</v>
      </c>
    </row>
    <row r="43" spans="1:9" ht="15.75">
      <c r="A43" s="3">
        <f t="shared" si="2"/>
        <v>31</v>
      </c>
      <c r="B43" s="12">
        <f t="shared" si="3"/>
        <v>343012465.52000004</v>
      </c>
      <c r="C43" s="10">
        <f t="shared" si="0"/>
        <v>1263111.9700000007</v>
      </c>
      <c r="D43" s="10">
        <f t="shared" si="1"/>
        <v>7431936.75</v>
      </c>
      <c r="E43" s="56">
        <f t="shared" si="4"/>
        <v>8695048.7200000007</v>
      </c>
      <c r="I43" s="13">
        <f t="shared" ca="1" si="5"/>
        <v>45487</v>
      </c>
    </row>
    <row r="44" spans="1:9" ht="15.75">
      <c r="A44" s="3">
        <f t="shared" si="2"/>
        <v>32</v>
      </c>
      <c r="B44" s="12">
        <f t="shared" si="3"/>
        <v>341749353.55000001</v>
      </c>
      <c r="C44" s="10">
        <f t="shared" si="0"/>
        <v>1290479.3900000006</v>
      </c>
      <c r="D44" s="10">
        <f t="shared" si="1"/>
        <v>7404569.3300000001</v>
      </c>
      <c r="E44" s="56">
        <f t="shared" si="4"/>
        <v>8695048.7200000007</v>
      </c>
      <c r="I44" s="13">
        <f t="shared" ca="1" si="5"/>
        <v>45518</v>
      </c>
    </row>
    <row r="45" spans="1:9" ht="15.75">
      <c r="A45" s="3">
        <f t="shared" si="2"/>
        <v>33</v>
      </c>
      <c r="B45" s="12">
        <f t="shared" si="3"/>
        <v>340458874.16000003</v>
      </c>
      <c r="C45" s="10">
        <f t="shared" ref="C45:C76" si="6">IF(A45=0,0,IF(A45=$D$7,B45,IF(A45&lt;=$D$8,0,$I$8-D45)))</f>
        <v>1318439.7800000003</v>
      </c>
      <c r="D45" s="10">
        <f t="shared" ref="D45:D76" si="7">ROUND(B45*$D$9%/12,2)</f>
        <v>7376608.9400000004</v>
      </c>
      <c r="E45" s="56">
        <f t="shared" si="4"/>
        <v>8695048.7200000007</v>
      </c>
      <c r="I45" s="13">
        <f t="shared" ca="1" si="5"/>
        <v>45549</v>
      </c>
    </row>
    <row r="46" spans="1:9" ht="15.75">
      <c r="A46" s="3">
        <f t="shared" ref="A46:A77" si="8">IF(A45=0,0,IF(A45&lt;$D$7,A45+1,0))</f>
        <v>34</v>
      </c>
      <c r="B46" s="12">
        <f t="shared" ref="B46:B77" si="9">IF(A46&gt;$D$7,"",B45-C45)</f>
        <v>339140434.38000005</v>
      </c>
      <c r="C46" s="10">
        <f t="shared" si="6"/>
        <v>1347005.9800000004</v>
      </c>
      <c r="D46" s="10">
        <f t="shared" si="7"/>
        <v>7348042.7400000002</v>
      </c>
      <c r="E46" s="56">
        <f t="shared" si="4"/>
        <v>8695048.7200000007</v>
      </c>
      <c r="I46" s="13">
        <f t="shared" ref="I46:I77" ca="1" si="10">IF(A46=0,0,IF(A46=$D$7,$D$3,DATE(YEAR(I45),MONTH(I45)+1,DAY(I45))))</f>
        <v>45579</v>
      </c>
    </row>
    <row r="47" spans="1:9" ht="15.75">
      <c r="A47" s="3">
        <f t="shared" si="8"/>
        <v>35</v>
      </c>
      <c r="B47" s="12">
        <f t="shared" si="9"/>
        <v>337793428.40000004</v>
      </c>
      <c r="C47" s="10">
        <f t="shared" si="6"/>
        <v>1376191.1000000006</v>
      </c>
      <c r="D47" s="10">
        <f t="shared" si="7"/>
        <v>7318857.6200000001</v>
      </c>
      <c r="E47" s="56">
        <f t="shared" si="4"/>
        <v>8695048.7200000007</v>
      </c>
      <c r="I47" s="13">
        <f t="shared" ca="1" si="10"/>
        <v>45610</v>
      </c>
    </row>
    <row r="48" spans="1:9" ht="15.75">
      <c r="A48" s="3">
        <f t="shared" si="8"/>
        <v>36</v>
      </c>
      <c r="B48" s="12">
        <f t="shared" si="9"/>
        <v>336417237.30000001</v>
      </c>
      <c r="C48" s="10">
        <f t="shared" si="6"/>
        <v>1406008.580000001</v>
      </c>
      <c r="D48" s="10">
        <f t="shared" si="7"/>
        <v>7289040.1399999997</v>
      </c>
      <c r="E48" s="56">
        <f t="shared" si="4"/>
        <v>8695048.7200000007</v>
      </c>
      <c r="I48" s="13">
        <f t="shared" ca="1" si="10"/>
        <v>45640</v>
      </c>
    </row>
    <row r="49" spans="1:9" ht="15.75">
      <c r="A49" s="3">
        <f t="shared" si="8"/>
        <v>37</v>
      </c>
      <c r="B49" s="12">
        <f t="shared" si="9"/>
        <v>335011228.72000003</v>
      </c>
      <c r="C49" s="10">
        <f t="shared" si="6"/>
        <v>1436472.1000000006</v>
      </c>
      <c r="D49" s="10">
        <f t="shared" si="7"/>
        <v>7258576.6200000001</v>
      </c>
      <c r="E49" s="56">
        <f t="shared" si="4"/>
        <v>8695048.7200000007</v>
      </c>
      <c r="I49" s="13">
        <f t="shared" ca="1" si="10"/>
        <v>45671</v>
      </c>
    </row>
    <row r="50" spans="1:9" ht="15.75">
      <c r="A50" s="3">
        <f t="shared" si="8"/>
        <v>38</v>
      </c>
      <c r="B50" s="12">
        <f t="shared" si="9"/>
        <v>333574756.62</v>
      </c>
      <c r="C50" s="10">
        <f t="shared" si="6"/>
        <v>1467595.6600000011</v>
      </c>
      <c r="D50" s="10">
        <f t="shared" si="7"/>
        <v>7227453.0599999996</v>
      </c>
      <c r="E50" s="56">
        <f t="shared" si="4"/>
        <v>8695048.7200000007</v>
      </c>
      <c r="I50" s="13">
        <f t="shared" ca="1" si="10"/>
        <v>45702</v>
      </c>
    </row>
    <row r="51" spans="1:9" ht="15.75">
      <c r="A51" s="3">
        <f t="shared" si="8"/>
        <v>39</v>
      </c>
      <c r="B51" s="12">
        <f t="shared" si="9"/>
        <v>332107160.95999998</v>
      </c>
      <c r="C51" s="10">
        <f t="shared" si="6"/>
        <v>1499393.5700000003</v>
      </c>
      <c r="D51" s="10">
        <f t="shared" si="7"/>
        <v>7195655.1500000004</v>
      </c>
      <c r="E51" s="56">
        <f t="shared" si="4"/>
        <v>8695048.7200000007</v>
      </c>
      <c r="I51" s="13">
        <f t="shared" ca="1" si="10"/>
        <v>45730</v>
      </c>
    </row>
    <row r="52" spans="1:9" ht="15.75">
      <c r="A52" s="3">
        <f t="shared" si="8"/>
        <v>40</v>
      </c>
      <c r="B52" s="12">
        <f t="shared" si="9"/>
        <v>330607767.38999999</v>
      </c>
      <c r="C52" s="10">
        <f t="shared" si="6"/>
        <v>1531880.4300000006</v>
      </c>
      <c r="D52" s="10">
        <f t="shared" si="7"/>
        <v>7163168.29</v>
      </c>
      <c r="E52" s="56">
        <f t="shared" si="4"/>
        <v>8695048.7200000007</v>
      </c>
      <c r="I52" s="13">
        <f t="shared" ca="1" si="10"/>
        <v>45761</v>
      </c>
    </row>
    <row r="53" spans="1:9" ht="15.75">
      <c r="A53" s="3">
        <f t="shared" si="8"/>
        <v>41</v>
      </c>
      <c r="B53" s="12">
        <f t="shared" si="9"/>
        <v>329075886.95999998</v>
      </c>
      <c r="C53" s="10">
        <f t="shared" si="6"/>
        <v>1565071.1700000009</v>
      </c>
      <c r="D53" s="10">
        <f t="shared" si="7"/>
        <v>7129977.5499999998</v>
      </c>
      <c r="E53" s="56">
        <f t="shared" si="4"/>
        <v>8695048.7200000007</v>
      </c>
      <c r="I53" s="13">
        <f t="shared" ca="1" si="10"/>
        <v>45791</v>
      </c>
    </row>
    <row r="54" spans="1:9" ht="15.75">
      <c r="A54" s="3">
        <f t="shared" si="8"/>
        <v>42</v>
      </c>
      <c r="B54" s="12">
        <f t="shared" si="9"/>
        <v>327510815.78999996</v>
      </c>
      <c r="C54" s="10">
        <f t="shared" si="6"/>
        <v>1598981.040000001</v>
      </c>
      <c r="D54" s="10">
        <f t="shared" si="7"/>
        <v>7096067.6799999997</v>
      </c>
      <c r="E54" s="56">
        <f t="shared" si="4"/>
        <v>8695048.7200000007</v>
      </c>
      <c r="I54" s="13">
        <f t="shared" ca="1" si="10"/>
        <v>45822</v>
      </c>
    </row>
    <row r="55" spans="1:9" ht="15.75">
      <c r="A55" s="3">
        <f t="shared" si="8"/>
        <v>43</v>
      </c>
      <c r="B55" s="12">
        <f t="shared" si="9"/>
        <v>325911834.74999994</v>
      </c>
      <c r="C55" s="10">
        <f t="shared" si="6"/>
        <v>1633625.6300000008</v>
      </c>
      <c r="D55" s="10">
        <f t="shared" si="7"/>
        <v>7061423.0899999999</v>
      </c>
      <c r="E55" s="56">
        <f t="shared" si="4"/>
        <v>8695048.7200000007</v>
      </c>
      <c r="I55" s="13">
        <f t="shared" ca="1" si="10"/>
        <v>45852</v>
      </c>
    </row>
    <row r="56" spans="1:9" ht="15.75">
      <c r="A56" s="3">
        <f t="shared" si="8"/>
        <v>44</v>
      </c>
      <c r="B56" s="12">
        <f t="shared" si="9"/>
        <v>324278209.11999995</v>
      </c>
      <c r="C56" s="10">
        <f t="shared" si="6"/>
        <v>1669020.8600000003</v>
      </c>
      <c r="D56" s="10">
        <f t="shared" si="7"/>
        <v>7026027.8600000003</v>
      </c>
      <c r="E56" s="56">
        <f t="shared" si="4"/>
        <v>8695048.7200000007</v>
      </c>
      <c r="I56" s="13">
        <f t="shared" ca="1" si="10"/>
        <v>45883</v>
      </c>
    </row>
    <row r="57" spans="1:9" ht="15.75">
      <c r="A57" s="3">
        <f t="shared" si="8"/>
        <v>45</v>
      </c>
      <c r="B57" s="12">
        <f t="shared" si="9"/>
        <v>322609188.25999993</v>
      </c>
      <c r="C57" s="10">
        <f t="shared" si="6"/>
        <v>1705182.9700000007</v>
      </c>
      <c r="D57" s="10">
        <f t="shared" si="7"/>
        <v>6989865.75</v>
      </c>
      <c r="E57" s="56">
        <f t="shared" si="4"/>
        <v>8695048.7200000007</v>
      </c>
      <c r="I57" s="13">
        <f t="shared" ca="1" si="10"/>
        <v>45914</v>
      </c>
    </row>
    <row r="58" spans="1:9" ht="15.75">
      <c r="A58" s="3">
        <f t="shared" si="8"/>
        <v>46</v>
      </c>
      <c r="B58" s="12">
        <f t="shared" si="9"/>
        <v>320904005.2899999</v>
      </c>
      <c r="C58" s="10">
        <f t="shared" si="6"/>
        <v>1742128.6100000003</v>
      </c>
      <c r="D58" s="10">
        <f t="shared" si="7"/>
        <v>6952920.1100000003</v>
      </c>
      <c r="E58" s="56">
        <f t="shared" si="4"/>
        <v>8695048.7200000007</v>
      </c>
      <c r="I58" s="13">
        <f t="shared" ca="1" si="10"/>
        <v>45944</v>
      </c>
    </row>
    <row r="59" spans="1:9" ht="15.75">
      <c r="A59" s="3">
        <f t="shared" si="8"/>
        <v>47</v>
      </c>
      <c r="B59" s="12">
        <f t="shared" si="9"/>
        <v>319161876.67999989</v>
      </c>
      <c r="C59" s="10">
        <f t="shared" si="6"/>
        <v>1779874.7300000004</v>
      </c>
      <c r="D59" s="10">
        <f t="shared" si="7"/>
        <v>6915173.9900000002</v>
      </c>
      <c r="E59" s="56">
        <f t="shared" si="4"/>
        <v>8695048.7200000007</v>
      </c>
      <c r="I59" s="13">
        <f t="shared" ca="1" si="10"/>
        <v>45975</v>
      </c>
    </row>
    <row r="60" spans="1:9" ht="15.75">
      <c r="A60" s="3">
        <f t="shared" si="8"/>
        <v>48</v>
      </c>
      <c r="B60" s="12">
        <f t="shared" si="9"/>
        <v>317382001.94999987</v>
      </c>
      <c r="C60" s="10">
        <f t="shared" si="6"/>
        <v>1818438.6800000006</v>
      </c>
      <c r="D60" s="10">
        <f t="shared" si="7"/>
        <v>6876610.04</v>
      </c>
      <c r="E60" s="56">
        <f t="shared" si="4"/>
        <v>8695048.7200000007</v>
      </c>
      <c r="I60" s="13">
        <f t="shared" ca="1" si="10"/>
        <v>46005</v>
      </c>
    </row>
    <row r="61" spans="1:9" ht="15.75">
      <c r="A61" s="3">
        <f t="shared" si="8"/>
        <v>49</v>
      </c>
      <c r="B61" s="12">
        <f t="shared" si="9"/>
        <v>315563563.26999986</v>
      </c>
      <c r="C61" s="10">
        <f t="shared" si="6"/>
        <v>1857838.1800000006</v>
      </c>
      <c r="D61" s="10">
        <f t="shared" si="7"/>
        <v>6837210.54</v>
      </c>
      <c r="E61" s="56">
        <f t="shared" si="4"/>
        <v>8695048.7200000007</v>
      </c>
      <c r="I61" s="13">
        <f t="shared" ca="1" si="10"/>
        <v>46036</v>
      </c>
    </row>
    <row r="62" spans="1:9" ht="15.75">
      <c r="A62" s="3">
        <f t="shared" si="8"/>
        <v>50</v>
      </c>
      <c r="B62" s="12">
        <f t="shared" si="9"/>
        <v>313705725.08999985</v>
      </c>
      <c r="C62" s="10">
        <f t="shared" si="6"/>
        <v>1898091.3400000008</v>
      </c>
      <c r="D62" s="10">
        <f t="shared" si="7"/>
        <v>6796957.3799999999</v>
      </c>
      <c r="E62" s="56">
        <f t="shared" si="4"/>
        <v>8695048.7200000007</v>
      </c>
      <c r="I62" s="13">
        <f t="shared" ca="1" si="10"/>
        <v>46067</v>
      </c>
    </row>
    <row r="63" spans="1:9" ht="15.75">
      <c r="A63" s="3">
        <f t="shared" si="8"/>
        <v>51</v>
      </c>
      <c r="B63" s="12">
        <f t="shared" si="9"/>
        <v>311807633.74999988</v>
      </c>
      <c r="C63" s="10">
        <f t="shared" si="6"/>
        <v>1939216.6600000011</v>
      </c>
      <c r="D63" s="10">
        <f t="shared" si="7"/>
        <v>6755832.0599999996</v>
      </c>
      <c r="E63" s="56">
        <f t="shared" si="4"/>
        <v>8695048.7200000007</v>
      </c>
      <c r="I63" s="13">
        <f t="shared" ca="1" si="10"/>
        <v>46095</v>
      </c>
    </row>
    <row r="64" spans="1:9" ht="15.75">
      <c r="A64" s="3">
        <f t="shared" si="8"/>
        <v>52</v>
      </c>
      <c r="B64" s="12">
        <f t="shared" si="9"/>
        <v>309868417.08999985</v>
      </c>
      <c r="C64" s="10">
        <f t="shared" si="6"/>
        <v>1981233.0200000005</v>
      </c>
      <c r="D64" s="10">
        <f t="shared" si="7"/>
        <v>6713815.7000000002</v>
      </c>
      <c r="E64" s="56">
        <f t="shared" si="4"/>
        <v>8695048.7200000007</v>
      </c>
      <c r="I64" s="13">
        <f t="shared" ca="1" si="10"/>
        <v>46126</v>
      </c>
    </row>
    <row r="65" spans="1:9" ht="15.75">
      <c r="A65" s="3">
        <f t="shared" si="8"/>
        <v>53</v>
      </c>
      <c r="B65" s="12">
        <f t="shared" si="9"/>
        <v>307887184.06999987</v>
      </c>
      <c r="C65" s="10">
        <f t="shared" si="6"/>
        <v>2024159.7300000004</v>
      </c>
      <c r="D65" s="10">
        <f t="shared" si="7"/>
        <v>6670888.9900000002</v>
      </c>
      <c r="E65" s="56">
        <f t="shared" si="4"/>
        <v>8695048.7200000007</v>
      </c>
      <c r="I65" s="13">
        <f t="shared" ca="1" si="10"/>
        <v>46156</v>
      </c>
    </row>
    <row r="66" spans="1:9" ht="15.75">
      <c r="A66" s="3">
        <f t="shared" si="8"/>
        <v>54</v>
      </c>
      <c r="B66" s="12">
        <f t="shared" si="9"/>
        <v>305863024.33999985</v>
      </c>
      <c r="C66" s="10">
        <f t="shared" si="6"/>
        <v>2068016.5300000003</v>
      </c>
      <c r="D66" s="10">
        <f t="shared" si="7"/>
        <v>6627032.1900000004</v>
      </c>
      <c r="E66" s="56">
        <f t="shared" si="4"/>
        <v>8695048.7200000007</v>
      </c>
      <c r="I66" s="13">
        <f t="shared" ca="1" si="10"/>
        <v>46187</v>
      </c>
    </row>
    <row r="67" spans="1:9" ht="15.75">
      <c r="A67" s="3">
        <f t="shared" si="8"/>
        <v>55</v>
      </c>
      <c r="B67" s="12">
        <f t="shared" si="9"/>
        <v>303795007.80999988</v>
      </c>
      <c r="C67" s="10">
        <f t="shared" si="6"/>
        <v>2112823.5500000007</v>
      </c>
      <c r="D67" s="10">
        <f t="shared" si="7"/>
        <v>6582225.1699999999</v>
      </c>
      <c r="E67" s="56">
        <f t="shared" si="4"/>
        <v>8695048.7200000007</v>
      </c>
      <c r="I67" s="13">
        <f t="shared" ca="1" si="10"/>
        <v>46217</v>
      </c>
    </row>
    <row r="68" spans="1:9" ht="15.75">
      <c r="A68" s="3">
        <f t="shared" si="8"/>
        <v>56</v>
      </c>
      <c r="B68" s="12">
        <f t="shared" si="9"/>
        <v>301682184.25999987</v>
      </c>
      <c r="C68" s="10">
        <f t="shared" si="6"/>
        <v>2158601.3900000006</v>
      </c>
      <c r="D68" s="10">
        <f t="shared" si="7"/>
        <v>6536447.3300000001</v>
      </c>
      <c r="E68" s="56">
        <f t="shared" si="4"/>
        <v>8695048.7200000007</v>
      </c>
      <c r="I68" s="13">
        <f t="shared" ca="1" si="10"/>
        <v>46248</v>
      </c>
    </row>
    <row r="69" spans="1:9" ht="15.75">
      <c r="A69" s="3">
        <f t="shared" si="8"/>
        <v>57</v>
      </c>
      <c r="B69" s="12">
        <f t="shared" si="9"/>
        <v>299523582.86999989</v>
      </c>
      <c r="C69" s="10">
        <f t="shared" si="6"/>
        <v>2205371.0900000008</v>
      </c>
      <c r="D69" s="10">
        <f t="shared" si="7"/>
        <v>6489677.6299999999</v>
      </c>
      <c r="E69" s="56">
        <f t="shared" si="4"/>
        <v>8695048.7200000007</v>
      </c>
      <c r="I69" s="13">
        <f t="shared" ca="1" si="10"/>
        <v>46279</v>
      </c>
    </row>
    <row r="70" spans="1:9" ht="15.75">
      <c r="A70" s="3">
        <f t="shared" si="8"/>
        <v>58</v>
      </c>
      <c r="B70" s="12">
        <f t="shared" si="9"/>
        <v>297318211.77999991</v>
      </c>
      <c r="C70" s="10">
        <f t="shared" si="6"/>
        <v>2253154.1300000008</v>
      </c>
      <c r="D70" s="10">
        <f t="shared" si="7"/>
        <v>6441894.5899999999</v>
      </c>
      <c r="E70" s="56">
        <f t="shared" si="4"/>
        <v>8695048.7200000007</v>
      </c>
      <c r="I70" s="13">
        <f t="shared" ca="1" si="10"/>
        <v>46309</v>
      </c>
    </row>
    <row r="71" spans="1:9" ht="15.75">
      <c r="A71" s="3">
        <f t="shared" si="8"/>
        <v>59</v>
      </c>
      <c r="B71" s="12">
        <f t="shared" si="9"/>
        <v>295065057.64999992</v>
      </c>
      <c r="C71" s="10">
        <f t="shared" si="6"/>
        <v>2301972.4700000007</v>
      </c>
      <c r="D71" s="10">
        <f t="shared" si="7"/>
        <v>6393076.25</v>
      </c>
      <c r="E71" s="56">
        <f t="shared" si="4"/>
        <v>8695048.7200000007</v>
      </c>
      <c r="I71" s="13">
        <f t="shared" ca="1" si="10"/>
        <v>46340</v>
      </c>
    </row>
    <row r="72" spans="1:9" ht="15.75">
      <c r="A72" s="3">
        <f t="shared" si="8"/>
        <v>60</v>
      </c>
      <c r="B72" s="12">
        <f t="shared" si="9"/>
        <v>292763085.17999989</v>
      </c>
      <c r="C72" s="10">
        <f t="shared" si="6"/>
        <v>2351848.540000001</v>
      </c>
      <c r="D72" s="10">
        <f t="shared" si="7"/>
        <v>6343200.1799999997</v>
      </c>
      <c r="E72" s="56">
        <f t="shared" si="4"/>
        <v>8695048.7200000007</v>
      </c>
      <c r="I72" s="13">
        <f t="shared" ca="1" si="10"/>
        <v>46370</v>
      </c>
    </row>
    <row r="73" spans="1:9" ht="15.75">
      <c r="A73" s="3">
        <f t="shared" si="8"/>
        <v>61</v>
      </c>
      <c r="B73" s="12">
        <f t="shared" si="9"/>
        <v>290411236.63999987</v>
      </c>
      <c r="C73" s="10">
        <f t="shared" si="6"/>
        <v>2402805.2600000007</v>
      </c>
      <c r="D73" s="10">
        <f t="shared" si="7"/>
        <v>6292243.46</v>
      </c>
      <c r="E73" s="56">
        <f t="shared" si="4"/>
        <v>8695048.7200000007</v>
      </c>
      <c r="I73" s="13">
        <f t="shared" ca="1" si="10"/>
        <v>46401</v>
      </c>
    </row>
    <row r="74" spans="1:9" ht="15.75">
      <c r="A74" s="3">
        <f t="shared" si="8"/>
        <v>62</v>
      </c>
      <c r="B74" s="12">
        <f t="shared" si="9"/>
        <v>288008431.37999988</v>
      </c>
      <c r="C74" s="10">
        <f t="shared" si="6"/>
        <v>2454866.040000001</v>
      </c>
      <c r="D74" s="10">
        <f t="shared" si="7"/>
        <v>6240182.6799999997</v>
      </c>
      <c r="E74" s="56">
        <f t="shared" si="4"/>
        <v>8695048.7200000007</v>
      </c>
      <c r="I74" s="13">
        <f t="shared" ca="1" si="10"/>
        <v>46432</v>
      </c>
    </row>
    <row r="75" spans="1:9" ht="15.75">
      <c r="A75" s="3">
        <f t="shared" si="8"/>
        <v>63</v>
      </c>
      <c r="B75" s="12">
        <f t="shared" si="9"/>
        <v>285553565.33999985</v>
      </c>
      <c r="C75" s="10">
        <f t="shared" si="6"/>
        <v>2508054.8000000007</v>
      </c>
      <c r="D75" s="10">
        <f t="shared" si="7"/>
        <v>6186993.9199999999</v>
      </c>
      <c r="E75" s="56">
        <f t="shared" si="4"/>
        <v>8695048.7200000007</v>
      </c>
      <c r="I75" s="13">
        <f t="shared" ca="1" si="10"/>
        <v>46460</v>
      </c>
    </row>
    <row r="76" spans="1:9" ht="15.75">
      <c r="A76" s="3">
        <f t="shared" si="8"/>
        <v>64</v>
      </c>
      <c r="B76" s="12">
        <f t="shared" si="9"/>
        <v>283045510.53999984</v>
      </c>
      <c r="C76" s="10">
        <f t="shared" si="6"/>
        <v>2562395.9900000002</v>
      </c>
      <c r="D76" s="10">
        <f t="shared" si="7"/>
        <v>6132652.7300000004</v>
      </c>
      <c r="E76" s="56">
        <f t="shared" si="4"/>
        <v>8695048.7200000007</v>
      </c>
      <c r="I76" s="13">
        <f t="shared" ca="1" si="10"/>
        <v>46491</v>
      </c>
    </row>
    <row r="77" spans="1:9" ht="15.75">
      <c r="A77" s="3">
        <f t="shared" si="8"/>
        <v>65</v>
      </c>
      <c r="B77" s="12">
        <f t="shared" si="9"/>
        <v>280483114.54999983</v>
      </c>
      <c r="C77" s="10">
        <f t="shared" ref="C77:C108" si="11">IF(A77=0,0,IF(A77=$D$7,B77,IF(A77&lt;=$D$8,0,$I$8-D77)))</f>
        <v>2617914.5700000003</v>
      </c>
      <c r="D77" s="10">
        <f t="shared" ref="D77:D108" si="12">ROUND(B77*$D$9%/12,2)</f>
        <v>6077134.1500000004</v>
      </c>
      <c r="E77" s="56">
        <f t="shared" si="4"/>
        <v>8695048.7200000007</v>
      </c>
      <c r="I77" s="13">
        <f t="shared" ca="1" si="10"/>
        <v>46521</v>
      </c>
    </row>
    <row r="78" spans="1:9" ht="15.75">
      <c r="A78" s="3">
        <f t="shared" ref="A78:A109" si="13">IF(A77=0,0,IF(A77&lt;$D$7,A77+1,0))</f>
        <v>66</v>
      </c>
      <c r="B78" s="12">
        <f t="shared" ref="B78:B109" si="14">IF(A78&gt;$D$7,"",B77-C77)</f>
        <v>277865199.97999984</v>
      </c>
      <c r="C78" s="10">
        <f t="shared" si="11"/>
        <v>2674636.0500000007</v>
      </c>
      <c r="D78" s="10">
        <f t="shared" si="12"/>
        <v>6020412.6699999999</v>
      </c>
      <c r="E78" s="56">
        <f t="shared" ref="E78:E132" si="15">C78+D78</f>
        <v>8695048.7200000007</v>
      </c>
      <c r="I78" s="13">
        <f t="shared" ref="I78:I109" ca="1" si="16">IF(A78=0,0,IF(A78=$D$7,$D$3,DATE(YEAR(I77),MONTH(I77)+1,DAY(I77))))</f>
        <v>46552</v>
      </c>
    </row>
    <row r="79" spans="1:9" ht="15.75">
      <c r="A79" s="3">
        <f t="shared" si="13"/>
        <v>67</v>
      </c>
      <c r="B79" s="12">
        <f t="shared" si="14"/>
        <v>275190563.92999983</v>
      </c>
      <c r="C79" s="10">
        <f t="shared" si="11"/>
        <v>2732586.5000000009</v>
      </c>
      <c r="D79" s="10">
        <f t="shared" si="12"/>
        <v>5962462.2199999997</v>
      </c>
      <c r="E79" s="56">
        <f t="shared" si="15"/>
        <v>8695048.7200000007</v>
      </c>
      <c r="I79" s="13">
        <f t="shared" ca="1" si="16"/>
        <v>46582</v>
      </c>
    </row>
    <row r="80" spans="1:9" ht="15.75">
      <c r="A80" s="3">
        <f t="shared" si="13"/>
        <v>68</v>
      </c>
      <c r="B80" s="12">
        <f t="shared" si="14"/>
        <v>272457977.42999983</v>
      </c>
      <c r="C80" s="10">
        <f t="shared" si="11"/>
        <v>2791792.540000001</v>
      </c>
      <c r="D80" s="10">
        <f t="shared" si="12"/>
        <v>5903256.1799999997</v>
      </c>
      <c r="E80" s="56">
        <f t="shared" si="15"/>
        <v>8695048.7200000007</v>
      </c>
      <c r="I80" s="13">
        <f t="shared" ca="1" si="16"/>
        <v>46613</v>
      </c>
    </row>
    <row r="81" spans="1:9" ht="15.75">
      <c r="A81" s="3">
        <f t="shared" si="13"/>
        <v>69</v>
      </c>
      <c r="B81" s="12">
        <f t="shared" si="14"/>
        <v>269666184.88999981</v>
      </c>
      <c r="C81" s="10">
        <f t="shared" si="11"/>
        <v>2852281.3800000008</v>
      </c>
      <c r="D81" s="10">
        <f t="shared" si="12"/>
        <v>5842767.3399999999</v>
      </c>
      <c r="E81" s="56">
        <f t="shared" si="15"/>
        <v>8695048.7200000007</v>
      </c>
      <c r="I81" s="13">
        <f t="shared" ca="1" si="16"/>
        <v>46644</v>
      </c>
    </row>
    <row r="82" spans="1:9" ht="15.75">
      <c r="A82" s="3">
        <f t="shared" si="13"/>
        <v>70</v>
      </c>
      <c r="B82" s="12">
        <f t="shared" si="14"/>
        <v>266813903.50999981</v>
      </c>
      <c r="C82" s="10">
        <f t="shared" si="11"/>
        <v>2914080.8100000005</v>
      </c>
      <c r="D82" s="10">
        <f t="shared" si="12"/>
        <v>5780967.9100000001</v>
      </c>
      <c r="E82" s="56">
        <f t="shared" si="15"/>
        <v>8695048.7200000007</v>
      </c>
      <c r="I82" s="13">
        <f t="shared" ca="1" si="16"/>
        <v>46674</v>
      </c>
    </row>
    <row r="83" spans="1:9" ht="15.75">
      <c r="A83" s="3">
        <f t="shared" si="13"/>
        <v>71</v>
      </c>
      <c r="B83" s="12">
        <f t="shared" si="14"/>
        <v>263899822.69999981</v>
      </c>
      <c r="C83" s="10">
        <f t="shared" si="11"/>
        <v>2977219.2300000004</v>
      </c>
      <c r="D83" s="10">
        <f t="shared" si="12"/>
        <v>5717829.4900000002</v>
      </c>
      <c r="E83" s="56">
        <f t="shared" si="15"/>
        <v>8695048.7200000007</v>
      </c>
      <c r="I83" s="13">
        <f t="shared" ca="1" si="16"/>
        <v>46705</v>
      </c>
    </row>
    <row r="84" spans="1:9" ht="15.75">
      <c r="A84" s="3">
        <f t="shared" si="13"/>
        <v>72</v>
      </c>
      <c r="B84" s="12">
        <f t="shared" si="14"/>
        <v>260922603.46999982</v>
      </c>
      <c r="C84" s="10">
        <f t="shared" si="11"/>
        <v>3041725.6400000006</v>
      </c>
      <c r="D84" s="10">
        <f t="shared" si="12"/>
        <v>5653323.0800000001</v>
      </c>
      <c r="E84" s="56">
        <f t="shared" si="15"/>
        <v>8695048.7200000007</v>
      </c>
      <c r="I84" s="13">
        <f t="shared" ca="1" si="16"/>
        <v>46735</v>
      </c>
    </row>
    <row r="85" spans="1:9" ht="15.75">
      <c r="A85" s="3">
        <f t="shared" si="13"/>
        <v>73</v>
      </c>
      <c r="B85" s="12">
        <f t="shared" si="14"/>
        <v>257880877.8299998</v>
      </c>
      <c r="C85" s="10">
        <f t="shared" si="11"/>
        <v>3107629.7000000011</v>
      </c>
      <c r="D85" s="10">
        <f t="shared" si="12"/>
        <v>5587419.0199999996</v>
      </c>
      <c r="E85" s="56">
        <f t="shared" si="15"/>
        <v>8695048.7200000007</v>
      </c>
      <c r="I85" s="13">
        <f t="shared" ca="1" si="16"/>
        <v>46766</v>
      </c>
    </row>
    <row r="86" spans="1:9" ht="15.75">
      <c r="A86" s="3">
        <f t="shared" si="13"/>
        <v>74</v>
      </c>
      <c r="B86" s="12">
        <f t="shared" si="14"/>
        <v>254773248.12999982</v>
      </c>
      <c r="C86" s="10">
        <f t="shared" si="11"/>
        <v>3174961.6800000006</v>
      </c>
      <c r="D86" s="10">
        <f t="shared" si="12"/>
        <v>5520087.04</v>
      </c>
      <c r="E86" s="56">
        <f t="shared" si="15"/>
        <v>8695048.7200000007</v>
      </c>
      <c r="I86" s="13">
        <f t="shared" ca="1" si="16"/>
        <v>46797</v>
      </c>
    </row>
    <row r="87" spans="1:9" ht="15.75">
      <c r="A87" s="3">
        <f t="shared" si="13"/>
        <v>75</v>
      </c>
      <c r="B87" s="12">
        <f t="shared" si="14"/>
        <v>251598286.44999981</v>
      </c>
      <c r="C87" s="10">
        <f t="shared" si="11"/>
        <v>3243752.5100000007</v>
      </c>
      <c r="D87" s="10">
        <f t="shared" si="12"/>
        <v>5451296.21</v>
      </c>
      <c r="E87" s="56">
        <f t="shared" si="15"/>
        <v>8695048.7200000007</v>
      </c>
      <c r="I87" s="13">
        <f t="shared" ca="1" si="16"/>
        <v>46826</v>
      </c>
    </row>
    <row r="88" spans="1:9" ht="15.75">
      <c r="A88" s="3">
        <f t="shared" si="13"/>
        <v>76</v>
      </c>
      <c r="B88" s="12">
        <f t="shared" si="14"/>
        <v>248354533.93999982</v>
      </c>
      <c r="C88" s="10">
        <f t="shared" si="11"/>
        <v>3314033.8200000003</v>
      </c>
      <c r="D88" s="10">
        <f t="shared" si="12"/>
        <v>5381014.9000000004</v>
      </c>
      <c r="E88" s="56">
        <f t="shared" si="15"/>
        <v>8695048.7200000007</v>
      </c>
      <c r="I88" s="13">
        <f t="shared" ca="1" si="16"/>
        <v>46857</v>
      </c>
    </row>
    <row r="89" spans="1:9" ht="15.75">
      <c r="A89" s="3">
        <f t="shared" si="13"/>
        <v>77</v>
      </c>
      <c r="B89" s="12">
        <f t="shared" si="14"/>
        <v>245040500.11999983</v>
      </c>
      <c r="C89" s="10">
        <f t="shared" si="11"/>
        <v>3385837.8800000008</v>
      </c>
      <c r="D89" s="10">
        <f t="shared" si="12"/>
        <v>5309210.84</v>
      </c>
      <c r="E89" s="56">
        <f t="shared" si="15"/>
        <v>8695048.7200000007</v>
      </c>
      <c r="I89" s="13">
        <f t="shared" ca="1" si="16"/>
        <v>46887</v>
      </c>
    </row>
    <row r="90" spans="1:9" ht="15.75">
      <c r="A90" s="3">
        <f t="shared" si="13"/>
        <v>78</v>
      </c>
      <c r="B90" s="12">
        <f t="shared" si="14"/>
        <v>241654662.23999983</v>
      </c>
      <c r="C90" s="10">
        <f t="shared" si="11"/>
        <v>3459197.7000000011</v>
      </c>
      <c r="D90" s="10">
        <f t="shared" si="12"/>
        <v>5235851.0199999996</v>
      </c>
      <c r="E90" s="56">
        <f t="shared" si="15"/>
        <v>8695048.7200000007</v>
      </c>
      <c r="I90" s="13">
        <f t="shared" ca="1" si="16"/>
        <v>46918</v>
      </c>
    </row>
    <row r="91" spans="1:9" ht="15.75">
      <c r="A91" s="3">
        <f t="shared" si="13"/>
        <v>79</v>
      </c>
      <c r="B91" s="12">
        <f t="shared" si="14"/>
        <v>238195464.53999984</v>
      </c>
      <c r="C91" s="10">
        <f t="shared" si="11"/>
        <v>3534146.99</v>
      </c>
      <c r="D91" s="10">
        <f t="shared" si="12"/>
        <v>5160901.7300000004</v>
      </c>
      <c r="E91" s="56">
        <f t="shared" si="15"/>
        <v>8695048.7200000007</v>
      </c>
      <c r="I91" s="13">
        <f t="shared" ca="1" si="16"/>
        <v>46948</v>
      </c>
    </row>
    <row r="92" spans="1:9" ht="15.75">
      <c r="A92" s="3">
        <f t="shared" si="13"/>
        <v>80</v>
      </c>
      <c r="B92" s="12">
        <f t="shared" si="14"/>
        <v>234661317.54999983</v>
      </c>
      <c r="C92" s="10">
        <f t="shared" si="11"/>
        <v>3610720.1700000009</v>
      </c>
      <c r="D92" s="10">
        <f t="shared" si="12"/>
        <v>5084328.55</v>
      </c>
      <c r="E92" s="56">
        <f t="shared" si="15"/>
        <v>8695048.7200000007</v>
      </c>
      <c r="I92" s="13">
        <f t="shared" ca="1" si="16"/>
        <v>46979</v>
      </c>
    </row>
    <row r="93" spans="1:9" ht="15.75">
      <c r="A93" s="3">
        <f t="shared" si="13"/>
        <v>81</v>
      </c>
      <c r="B93" s="12">
        <f t="shared" si="14"/>
        <v>231050597.37999985</v>
      </c>
      <c r="C93" s="10">
        <f t="shared" si="11"/>
        <v>3688952.4400000004</v>
      </c>
      <c r="D93" s="10">
        <f t="shared" si="12"/>
        <v>5006096.28</v>
      </c>
      <c r="E93" s="56">
        <f t="shared" si="15"/>
        <v>8695048.7200000007</v>
      </c>
      <c r="I93" s="13">
        <f t="shared" ca="1" si="16"/>
        <v>47010</v>
      </c>
    </row>
    <row r="94" spans="1:9" ht="15.75">
      <c r="A94" s="3">
        <f t="shared" si="13"/>
        <v>82</v>
      </c>
      <c r="B94" s="12">
        <f t="shared" si="14"/>
        <v>227361644.93999985</v>
      </c>
      <c r="C94" s="10">
        <f t="shared" si="11"/>
        <v>3768879.7500000009</v>
      </c>
      <c r="D94" s="10">
        <f t="shared" si="12"/>
        <v>4926168.97</v>
      </c>
      <c r="E94" s="56">
        <f t="shared" si="15"/>
        <v>8695048.7200000007</v>
      </c>
      <c r="I94" s="13">
        <f t="shared" ca="1" si="16"/>
        <v>47040</v>
      </c>
    </row>
    <row r="95" spans="1:9" ht="15.75">
      <c r="A95" s="3">
        <f t="shared" si="13"/>
        <v>83</v>
      </c>
      <c r="B95" s="12">
        <f t="shared" si="14"/>
        <v>223592765.18999985</v>
      </c>
      <c r="C95" s="10">
        <f t="shared" si="11"/>
        <v>3850538.8100000005</v>
      </c>
      <c r="D95" s="10">
        <f t="shared" si="12"/>
        <v>4844509.91</v>
      </c>
      <c r="E95" s="56">
        <f t="shared" si="15"/>
        <v>8695048.7200000007</v>
      </c>
      <c r="I95" s="13">
        <f t="shared" ca="1" si="16"/>
        <v>47071</v>
      </c>
    </row>
    <row r="96" spans="1:9" ht="15.75">
      <c r="A96" s="3">
        <f t="shared" si="13"/>
        <v>84</v>
      </c>
      <c r="B96" s="12">
        <f t="shared" si="14"/>
        <v>219742226.37999985</v>
      </c>
      <c r="C96" s="10">
        <f t="shared" si="11"/>
        <v>3933967.1500000004</v>
      </c>
      <c r="D96" s="10">
        <f t="shared" si="12"/>
        <v>4761081.57</v>
      </c>
      <c r="E96" s="56">
        <f t="shared" si="15"/>
        <v>8695048.7200000007</v>
      </c>
      <c r="I96" s="13">
        <f t="shared" ca="1" si="16"/>
        <v>47101</v>
      </c>
    </row>
    <row r="97" spans="1:9" ht="15.75">
      <c r="A97" s="3">
        <f t="shared" si="13"/>
        <v>85</v>
      </c>
      <c r="B97" s="12">
        <f t="shared" si="14"/>
        <v>215808259.22999984</v>
      </c>
      <c r="C97" s="10">
        <f t="shared" si="11"/>
        <v>4019203.1000000006</v>
      </c>
      <c r="D97" s="10">
        <f t="shared" si="12"/>
        <v>4675845.62</v>
      </c>
      <c r="E97" s="56">
        <f t="shared" si="15"/>
        <v>8695048.7200000007</v>
      </c>
      <c r="I97" s="13">
        <f t="shared" ca="1" si="16"/>
        <v>47132</v>
      </c>
    </row>
    <row r="98" spans="1:9" ht="15.75">
      <c r="A98" s="3">
        <f t="shared" si="13"/>
        <v>86</v>
      </c>
      <c r="B98" s="12">
        <f t="shared" si="14"/>
        <v>211789056.12999985</v>
      </c>
      <c r="C98" s="10">
        <f t="shared" si="11"/>
        <v>4106285.8400000008</v>
      </c>
      <c r="D98" s="10">
        <f t="shared" si="12"/>
        <v>4588762.88</v>
      </c>
      <c r="E98" s="56">
        <f t="shared" si="15"/>
        <v>8695048.7200000007</v>
      </c>
      <c r="I98" s="13">
        <f t="shared" ca="1" si="16"/>
        <v>47163</v>
      </c>
    </row>
    <row r="99" spans="1:9" ht="15.75">
      <c r="A99" s="3">
        <f t="shared" si="13"/>
        <v>87</v>
      </c>
      <c r="B99" s="12">
        <f t="shared" si="14"/>
        <v>207682770.28999984</v>
      </c>
      <c r="C99" s="10">
        <f t="shared" si="11"/>
        <v>4195255.3600000003</v>
      </c>
      <c r="D99" s="10">
        <f t="shared" si="12"/>
        <v>4499793.3600000003</v>
      </c>
      <c r="E99" s="56">
        <f t="shared" si="15"/>
        <v>8695048.7200000007</v>
      </c>
      <c r="I99" s="13">
        <f t="shared" ca="1" si="16"/>
        <v>47191</v>
      </c>
    </row>
    <row r="100" spans="1:9" ht="15.75">
      <c r="A100" s="3">
        <f t="shared" si="13"/>
        <v>88</v>
      </c>
      <c r="B100" s="12">
        <f t="shared" si="14"/>
        <v>203487514.92999983</v>
      </c>
      <c r="C100" s="10">
        <f t="shared" si="11"/>
        <v>4286152.5600000005</v>
      </c>
      <c r="D100" s="10">
        <f t="shared" si="12"/>
        <v>4408896.16</v>
      </c>
      <c r="E100" s="56">
        <f t="shared" si="15"/>
        <v>8695048.7200000007</v>
      </c>
      <c r="I100" s="13">
        <f t="shared" ca="1" si="16"/>
        <v>47222</v>
      </c>
    </row>
    <row r="101" spans="1:9" ht="15.75">
      <c r="A101" s="3">
        <f t="shared" si="13"/>
        <v>89</v>
      </c>
      <c r="B101" s="12">
        <f t="shared" si="14"/>
        <v>199201362.36999983</v>
      </c>
      <c r="C101" s="10">
        <f t="shared" si="11"/>
        <v>4379019.2000000011</v>
      </c>
      <c r="D101" s="10">
        <f t="shared" si="12"/>
        <v>4316029.5199999996</v>
      </c>
      <c r="E101" s="56">
        <f t="shared" si="15"/>
        <v>8695048.7200000007</v>
      </c>
      <c r="I101" s="13">
        <f t="shared" ca="1" si="16"/>
        <v>47252</v>
      </c>
    </row>
    <row r="102" spans="1:9" ht="15.75">
      <c r="A102" s="3">
        <f t="shared" si="13"/>
        <v>90</v>
      </c>
      <c r="B102" s="12">
        <f t="shared" si="14"/>
        <v>194822343.16999984</v>
      </c>
      <c r="C102" s="10">
        <f t="shared" si="11"/>
        <v>4473897.9500000011</v>
      </c>
      <c r="D102" s="10">
        <f t="shared" si="12"/>
        <v>4221150.7699999996</v>
      </c>
      <c r="E102" s="56">
        <f t="shared" si="15"/>
        <v>8695048.7200000007</v>
      </c>
      <c r="I102" s="13">
        <f t="shared" ca="1" si="16"/>
        <v>47283</v>
      </c>
    </row>
    <row r="103" spans="1:9" ht="15.75">
      <c r="A103" s="3">
        <f t="shared" si="13"/>
        <v>91</v>
      </c>
      <c r="B103" s="12">
        <f t="shared" si="14"/>
        <v>190348445.21999985</v>
      </c>
      <c r="C103" s="10">
        <f t="shared" si="11"/>
        <v>4570832.41</v>
      </c>
      <c r="D103" s="10">
        <f t="shared" si="12"/>
        <v>4124216.31</v>
      </c>
      <c r="E103" s="56">
        <f t="shared" si="15"/>
        <v>8695048.7200000007</v>
      </c>
      <c r="I103" s="13">
        <f t="shared" ca="1" si="16"/>
        <v>47313</v>
      </c>
    </row>
    <row r="104" spans="1:9" ht="15.75">
      <c r="A104" s="3">
        <f t="shared" si="13"/>
        <v>92</v>
      </c>
      <c r="B104" s="12">
        <f t="shared" si="14"/>
        <v>185777612.80999985</v>
      </c>
      <c r="C104" s="10">
        <f t="shared" si="11"/>
        <v>4669867.1100000013</v>
      </c>
      <c r="D104" s="10">
        <f t="shared" si="12"/>
        <v>4025181.61</v>
      </c>
      <c r="E104" s="56">
        <f t="shared" si="15"/>
        <v>8695048.7200000007</v>
      </c>
      <c r="I104" s="13">
        <f t="shared" ca="1" si="16"/>
        <v>47344</v>
      </c>
    </row>
    <row r="105" spans="1:9" ht="15.75">
      <c r="A105" s="3">
        <f t="shared" si="13"/>
        <v>93</v>
      </c>
      <c r="B105" s="12">
        <f t="shared" si="14"/>
        <v>181107745.69999984</v>
      </c>
      <c r="C105" s="10">
        <f t="shared" si="11"/>
        <v>4771047.5600000005</v>
      </c>
      <c r="D105" s="10">
        <f t="shared" si="12"/>
        <v>3924001.16</v>
      </c>
      <c r="E105" s="56">
        <f t="shared" si="15"/>
        <v>8695048.7200000007</v>
      </c>
      <c r="I105" s="13">
        <f t="shared" ca="1" si="16"/>
        <v>47375</v>
      </c>
    </row>
    <row r="106" spans="1:9" ht="15.75">
      <c r="A106" s="3">
        <f t="shared" si="13"/>
        <v>94</v>
      </c>
      <c r="B106" s="12">
        <f t="shared" si="14"/>
        <v>176336698.13999984</v>
      </c>
      <c r="C106" s="10">
        <f t="shared" si="11"/>
        <v>4874420.2600000007</v>
      </c>
      <c r="D106" s="10">
        <f t="shared" si="12"/>
        <v>3820628.46</v>
      </c>
      <c r="E106" s="56">
        <f t="shared" si="15"/>
        <v>8695048.7200000007</v>
      </c>
      <c r="I106" s="13">
        <f t="shared" ca="1" si="16"/>
        <v>47405</v>
      </c>
    </row>
    <row r="107" spans="1:9" ht="15.75">
      <c r="A107" s="3">
        <f t="shared" si="13"/>
        <v>95</v>
      </c>
      <c r="B107" s="12">
        <f t="shared" si="14"/>
        <v>171462277.87999985</v>
      </c>
      <c r="C107" s="10">
        <f t="shared" si="11"/>
        <v>4980032.7000000011</v>
      </c>
      <c r="D107" s="10">
        <f t="shared" si="12"/>
        <v>3715016.02</v>
      </c>
      <c r="E107" s="56">
        <f t="shared" si="15"/>
        <v>8695048.7200000007</v>
      </c>
      <c r="I107" s="13">
        <f t="shared" ca="1" si="16"/>
        <v>47436</v>
      </c>
    </row>
    <row r="108" spans="1:9" ht="15.75">
      <c r="A108" s="3">
        <f t="shared" si="13"/>
        <v>96</v>
      </c>
      <c r="B108" s="12">
        <f t="shared" si="14"/>
        <v>166482245.17999986</v>
      </c>
      <c r="C108" s="10">
        <f t="shared" si="11"/>
        <v>5087933.41</v>
      </c>
      <c r="D108" s="10">
        <f t="shared" si="12"/>
        <v>3607115.31</v>
      </c>
      <c r="E108" s="56">
        <f t="shared" si="15"/>
        <v>8695048.7200000007</v>
      </c>
      <c r="I108" s="13">
        <f t="shared" ca="1" si="16"/>
        <v>47466</v>
      </c>
    </row>
    <row r="109" spans="1:9" ht="15.75">
      <c r="A109" s="3">
        <f t="shared" si="13"/>
        <v>97</v>
      </c>
      <c r="B109" s="12">
        <f t="shared" si="14"/>
        <v>161394311.76999986</v>
      </c>
      <c r="C109" s="10">
        <f t="shared" ref="C109:C132" si="17">IF(A109=0,0,IF(A109=$D$7,B109,IF(A109&lt;=$D$8,0,$I$8-D109)))</f>
        <v>5198171.9600000009</v>
      </c>
      <c r="D109" s="10">
        <f t="shared" ref="D109:D132" si="18">ROUND(B109*$D$9%/12,2)</f>
        <v>3496876.76</v>
      </c>
      <c r="E109" s="56">
        <f t="shared" si="15"/>
        <v>8695048.7200000007</v>
      </c>
      <c r="I109" s="13">
        <f t="shared" ca="1" si="16"/>
        <v>47497</v>
      </c>
    </row>
    <row r="110" spans="1:9" ht="15.75">
      <c r="A110" s="3">
        <f t="shared" ref="A110:A132" si="19">IF(A109=0,0,IF(A109&lt;$D$7,A109+1,0))</f>
        <v>98</v>
      </c>
      <c r="B110" s="12">
        <f t="shared" ref="B110:B132" si="20">IF(A110&gt;$D$7,"",B109-C109)</f>
        <v>156196139.80999985</v>
      </c>
      <c r="C110" s="10">
        <f t="shared" si="17"/>
        <v>5310799.0200000005</v>
      </c>
      <c r="D110" s="10">
        <f t="shared" si="18"/>
        <v>3384249.7</v>
      </c>
      <c r="E110" s="56">
        <f t="shared" si="15"/>
        <v>8695048.7200000007</v>
      </c>
      <c r="I110" s="13">
        <f t="shared" ref="I110:I132" ca="1" si="21">IF(A110=0,0,IF(A110=$D$7,$D$3,DATE(YEAR(I109),MONTH(I109)+1,DAY(I109))))</f>
        <v>47528</v>
      </c>
    </row>
    <row r="111" spans="1:9" ht="15.75">
      <c r="A111" s="3">
        <f t="shared" si="19"/>
        <v>99</v>
      </c>
      <c r="B111" s="12">
        <f t="shared" si="20"/>
        <v>150885340.78999984</v>
      </c>
      <c r="C111" s="10">
        <f t="shared" si="17"/>
        <v>5425866.3400000008</v>
      </c>
      <c r="D111" s="10">
        <f t="shared" si="18"/>
        <v>3269182.38</v>
      </c>
      <c r="E111" s="56">
        <f t="shared" si="15"/>
        <v>8695048.7200000007</v>
      </c>
      <c r="I111" s="13">
        <f t="shared" ca="1" si="21"/>
        <v>47556</v>
      </c>
    </row>
    <row r="112" spans="1:9" ht="15.75">
      <c r="A112" s="3">
        <f t="shared" si="19"/>
        <v>100</v>
      </c>
      <c r="B112" s="12">
        <f t="shared" si="20"/>
        <v>145459474.44999984</v>
      </c>
      <c r="C112" s="10">
        <f t="shared" si="17"/>
        <v>5543426.7700000005</v>
      </c>
      <c r="D112" s="10">
        <f t="shared" si="18"/>
        <v>3151621.95</v>
      </c>
      <c r="E112" s="56">
        <f t="shared" si="15"/>
        <v>8695048.7200000007</v>
      </c>
      <c r="I112" s="13">
        <f t="shared" ca="1" si="21"/>
        <v>47587</v>
      </c>
    </row>
    <row r="113" spans="1:9" ht="15.75">
      <c r="A113" s="3">
        <f t="shared" si="19"/>
        <v>101</v>
      </c>
      <c r="B113" s="12">
        <f t="shared" si="20"/>
        <v>139916047.67999983</v>
      </c>
      <c r="C113" s="10">
        <f t="shared" si="17"/>
        <v>5663534.3500000006</v>
      </c>
      <c r="D113" s="10">
        <f t="shared" si="18"/>
        <v>3031514.37</v>
      </c>
      <c r="E113" s="56">
        <f t="shared" si="15"/>
        <v>8695048.7200000007</v>
      </c>
      <c r="I113" s="13">
        <f t="shared" ca="1" si="21"/>
        <v>47617</v>
      </c>
    </row>
    <row r="114" spans="1:9" ht="15.75">
      <c r="A114" s="3">
        <f t="shared" si="19"/>
        <v>102</v>
      </c>
      <c r="B114" s="12">
        <f t="shared" si="20"/>
        <v>134252513.32999983</v>
      </c>
      <c r="C114" s="10">
        <f t="shared" si="17"/>
        <v>5786244.2600000007</v>
      </c>
      <c r="D114" s="10">
        <f t="shared" si="18"/>
        <v>2908804.46</v>
      </c>
      <c r="E114" s="56">
        <f t="shared" si="15"/>
        <v>8695048.7200000007</v>
      </c>
      <c r="I114" s="13">
        <f t="shared" ca="1" si="21"/>
        <v>47648</v>
      </c>
    </row>
    <row r="115" spans="1:9" ht="15.75">
      <c r="A115" s="3">
        <f t="shared" si="19"/>
        <v>103</v>
      </c>
      <c r="B115" s="12">
        <f t="shared" si="20"/>
        <v>128466269.06999983</v>
      </c>
      <c r="C115" s="10">
        <f t="shared" si="17"/>
        <v>5911612.8900000006</v>
      </c>
      <c r="D115" s="10">
        <f t="shared" si="18"/>
        <v>2783435.83</v>
      </c>
      <c r="E115" s="56">
        <f t="shared" si="15"/>
        <v>8695048.7200000007</v>
      </c>
      <c r="I115" s="13">
        <f t="shared" ca="1" si="21"/>
        <v>47678</v>
      </c>
    </row>
    <row r="116" spans="1:9" ht="15.75">
      <c r="A116" s="3">
        <f t="shared" si="19"/>
        <v>104</v>
      </c>
      <c r="B116" s="12">
        <f t="shared" si="20"/>
        <v>122554656.17999983</v>
      </c>
      <c r="C116" s="10">
        <f t="shared" si="17"/>
        <v>6039697.8400000008</v>
      </c>
      <c r="D116" s="10">
        <f t="shared" si="18"/>
        <v>2655350.88</v>
      </c>
      <c r="E116" s="56">
        <f t="shared" si="15"/>
        <v>8695048.7200000007</v>
      </c>
      <c r="I116" s="13">
        <f t="shared" ca="1" si="21"/>
        <v>47709</v>
      </c>
    </row>
    <row r="117" spans="1:9" ht="15.75">
      <c r="A117" s="3">
        <f t="shared" si="19"/>
        <v>105</v>
      </c>
      <c r="B117" s="12">
        <f t="shared" si="20"/>
        <v>116514958.33999982</v>
      </c>
      <c r="C117" s="10">
        <f t="shared" si="17"/>
        <v>6170557.9600000009</v>
      </c>
      <c r="D117" s="10">
        <f t="shared" si="18"/>
        <v>2524490.7599999998</v>
      </c>
      <c r="E117" s="56">
        <f t="shared" si="15"/>
        <v>8695048.7200000007</v>
      </c>
      <c r="I117" s="13">
        <f t="shared" ca="1" si="21"/>
        <v>47740</v>
      </c>
    </row>
    <row r="118" spans="1:9" ht="15.75">
      <c r="A118" s="3">
        <f t="shared" si="19"/>
        <v>106</v>
      </c>
      <c r="B118" s="12">
        <f t="shared" si="20"/>
        <v>110344400.37999982</v>
      </c>
      <c r="C118" s="10">
        <f t="shared" si="17"/>
        <v>6304253.3800000008</v>
      </c>
      <c r="D118" s="10">
        <f t="shared" si="18"/>
        <v>2390795.34</v>
      </c>
      <c r="E118" s="56">
        <f t="shared" si="15"/>
        <v>8695048.7200000007</v>
      </c>
      <c r="I118" s="13">
        <f t="shared" ca="1" si="21"/>
        <v>47770</v>
      </c>
    </row>
    <row r="119" spans="1:9" ht="15.75">
      <c r="A119" s="3">
        <f t="shared" si="19"/>
        <v>107</v>
      </c>
      <c r="B119" s="12">
        <f t="shared" si="20"/>
        <v>104040146.99999982</v>
      </c>
      <c r="C119" s="10">
        <f t="shared" si="17"/>
        <v>6440845.5300000012</v>
      </c>
      <c r="D119" s="10">
        <f t="shared" si="18"/>
        <v>2254203.19</v>
      </c>
      <c r="E119" s="56">
        <f t="shared" si="15"/>
        <v>8695048.7200000007</v>
      </c>
      <c r="I119" s="13">
        <f t="shared" ca="1" si="21"/>
        <v>47801</v>
      </c>
    </row>
    <row r="120" spans="1:9" ht="15.75">
      <c r="A120" s="3">
        <f t="shared" si="19"/>
        <v>108</v>
      </c>
      <c r="B120" s="12">
        <f t="shared" si="20"/>
        <v>97599301.46999982</v>
      </c>
      <c r="C120" s="10">
        <f t="shared" si="17"/>
        <v>6580397.1900000013</v>
      </c>
      <c r="D120" s="10">
        <f t="shared" si="18"/>
        <v>2114651.5299999998</v>
      </c>
      <c r="E120" s="56">
        <f t="shared" si="15"/>
        <v>8695048.7200000007</v>
      </c>
      <c r="I120" s="13">
        <f t="shared" ca="1" si="21"/>
        <v>47831</v>
      </c>
    </row>
    <row r="121" spans="1:9" ht="15.75">
      <c r="A121" s="3">
        <f t="shared" si="19"/>
        <v>109</v>
      </c>
      <c r="B121" s="12">
        <f t="shared" si="20"/>
        <v>91018904.279999822</v>
      </c>
      <c r="C121" s="10">
        <f t="shared" si="17"/>
        <v>6722972.4600000009</v>
      </c>
      <c r="D121" s="10">
        <f t="shared" si="18"/>
        <v>1972076.26</v>
      </c>
      <c r="E121" s="56">
        <f t="shared" si="15"/>
        <v>8695048.7200000007</v>
      </c>
      <c r="I121" s="13">
        <f t="shared" ca="1" si="21"/>
        <v>47862</v>
      </c>
    </row>
    <row r="122" spans="1:9" ht="15.75">
      <c r="A122" s="3">
        <f t="shared" si="19"/>
        <v>110</v>
      </c>
      <c r="B122" s="12">
        <f t="shared" si="20"/>
        <v>84295931.819999814</v>
      </c>
      <c r="C122" s="10">
        <f t="shared" si="17"/>
        <v>6868636.8600000003</v>
      </c>
      <c r="D122" s="10">
        <f t="shared" si="18"/>
        <v>1826411.86</v>
      </c>
      <c r="E122" s="56">
        <f t="shared" si="15"/>
        <v>8695048.7200000007</v>
      </c>
      <c r="I122" s="13">
        <f t="shared" ca="1" si="21"/>
        <v>47893</v>
      </c>
    </row>
    <row r="123" spans="1:9" ht="15.75">
      <c r="A123" s="3">
        <f t="shared" si="19"/>
        <v>111</v>
      </c>
      <c r="B123" s="12">
        <f t="shared" si="20"/>
        <v>77427294.959999815</v>
      </c>
      <c r="C123" s="10">
        <f t="shared" si="17"/>
        <v>7017457.330000001</v>
      </c>
      <c r="D123" s="10">
        <f t="shared" si="18"/>
        <v>1677591.39</v>
      </c>
      <c r="E123" s="56">
        <f t="shared" si="15"/>
        <v>8695048.7200000007</v>
      </c>
      <c r="I123" s="13">
        <f t="shared" ca="1" si="21"/>
        <v>47921</v>
      </c>
    </row>
    <row r="124" spans="1:9" ht="15.75">
      <c r="A124" s="3">
        <f t="shared" si="19"/>
        <v>112</v>
      </c>
      <c r="B124" s="12">
        <f t="shared" si="20"/>
        <v>70409837.629999816</v>
      </c>
      <c r="C124" s="10">
        <f t="shared" si="17"/>
        <v>7169502.2400000002</v>
      </c>
      <c r="D124" s="10">
        <f t="shared" si="18"/>
        <v>1525546.48</v>
      </c>
      <c r="E124" s="56">
        <f t="shared" si="15"/>
        <v>8695048.7200000007</v>
      </c>
      <c r="I124" s="13">
        <f t="shared" ca="1" si="21"/>
        <v>47952</v>
      </c>
    </row>
    <row r="125" spans="1:9" ht="15.75">
      <c r="A125" s="3">
        <f t="shared" si="19"/>
        <v>113</v>
      </c>
      <c r="B125" s="12">
        <f t="shared" si="20"/>
        <v>63240335.389999814</v>
      </c>
      <c r="C125" s="10">
        <f t="shared" si="17"/>
        <v>7324841.4500000011</v>
      </c>
      <c r="D125" s="10">
        <f t="shared" si="18"/>
        <v>1370207.27</v>
      </c>
      <c r="E125" s="56">
        <f t="shared" si="15"/>
        <v>8695048.7200000007</v>
      </c>
      <c r="I125" s="13">
        <f t="shared" ca="1" si="21"/>
        <v>47982</v>
      </c>
    </row>
    <row r="126" spans="1:9" ht="15.75">
      <c r="A126" s="3">
        <f t="shared" si="19"/>
        <v>114</v>
      </c>
      <c r="B126" s="12">
        <f t="shared" si="20"/>
        <v>55915493.939999811</v>
      </c>
      <c r="C126" s="10">
        <f t="shared" si="17"/>
        <v>7483546.3500000006</v>
      </c>
      <c r="D126" s="10">
        <f t="shared" si="18"/>
        <v>1211502.3700000001</v>
      </c>
      <c r="E126" s="56">
        <f t="shared" si="15"/>
        <v>8695048.7200000007</v>
      </c>
      <c r="I126" s="13">
        <f t="shared" ca="1" si="21"/>
        <v>48013</v>
      </c>
    </row>
    <row r="127" spans="1:9" ht="15.75">
      <c r="A127" s="3">
        <f t="shared" si="19"/>
        <v>115</v>
      </c>
      <c r="B127" s="12">
        <f t="shared" si="20"/>
        <v>48431947.58999981</v>
      </c>
      <c r="C127" s="10">
        <f t="shared" si="17"/>
        <v>7645689.8600000003</v>
      </c>
      <c r="D127" s="10">
        <f t="shared" si="18"/>
        <v>1049358.8600000001</v>
      </c>
      <c r="E127" s="56">
        <f t="shared" si="15"/>
        <v>8695048.7200000007</v>
      </c>
      <c r="I127" s="13">
        <f t="shared" ca="1" si="21"/>
        <v>48043</v>
      </c>
    </row>
    <row r="128" spans="1:9" ht="15.75">
      <c r="A128" s="3">
        <f t="shared" si="19"/>
        <v>116</v>
      </c>
      <c r="B128" s="12">
        <f t="shared" si="20"/>
        <v>40786257.72999981</v>
      </c>
      <c r="C128" s="10">
        <f t="shared" si="17"/>
        <v>7811346.4700000007</v>
      </c>
      <c r="D128" s="10">
        <f t="shared" si="18"/>
        <v>883702.25</v>
      </c>
      <c r="E128" s="56">
        <f t="shared" si="15"/>
        <v>8695048.7200000007</v>
      </c>
      <c r="I128" s="13">
        <f t="shared" ca="1" si="21"/>
        <v>48074</v>
      </c>
    </row>
    <row r="129" spans="1:9" ht="15.75">
      <c r="A129" s="3">
        <f t="shared" si="19"/>
        <v>117</v>
      </c>
      <c r="B129" s="12">
        <f t="shared" si="20"/>
        <v>32974911.259999812</v>
      </c>
      <c r="C129" s="10">
        <f t="shared" si="17"/>
        <v>7980592.3100000005</v>
      </c>
      <c r="D129" s="10">
        <f t="shared" si="18"/>
        <v>714456.41</v>
      </c>
      <c r="E129" s="56">
        <f t="shared" si="15"/>
        <v>8695048.7200000007</v>
      </c>
      <c r="I129" s="13">
        <f t="shared" ca="1" si="21"/>
        <v>48105</v>
      </c>
    </row>
    <row r="130" spans="1:9" ht="15.75">
      <c r="A130" s="3">
        <f t="shared" si="19"/>
        <v>118</v>
      </c>
      <c r="B130" s="12">
        <f t="shared" si="20"/>
        <v>24994318.949999809</v>
      </c>
      <c r="C130" s="10">
        <f t="shared" si="17"/>
        <v>8153505.1400000006</v>
      </c>
      <c r="D130" s="10">
        <f t="shared" si="18"/>
        <v>541543.57999999996</v>
      </c>
      <c r="E130" s="56">
        <f t="shared" si="15"/>
        <v>8695048.7200000007</v>
      </c>
      <c r="I130" s="13">
        <f t="shared" ca="1" si="21"/>
        <v>48135</v>
      </c>
    </row>
    <row r="131" spans="1:9" ht="15.75">
      <c r="A131" s="3">
        <f t="shared" si="19"/>
        <v>119</v>
      </c>
      <c r="B131" s="12">
        <f t="shared" si="20"/>
        <v>16840813.809999809</v>
      </c>
      <c r="C131" s="10">
        <f t="shared" si="17"/>
        <v>8330164.4200000009</v>
      </c>
      <c r="D131" s="10">
        <f t="shared" si="18"/>
        <v>364884.3</v>
      </c>
      <c r="E131" s="56">
        <f t="shared" si="15"/>
        <v>8695048.7200000007</v>
      </c>
      <c r="I131" s="13">
        <f t="shared" ca="1" si="21"/>
        <v>48166</v>
      </c>
    </row>
    <row r="132" spans="1:9" ht="15.75">
      <c r="A132" s="3">
        <f t="shared" si="19"/>
        <v>120</v>
      </c>
      <c r="B132" s="12">
        <f t="shared" si="20"/>
        <v>8510649.3899998069</v>
      </c>
      <c r="C132" s="10">
        <f t="shared" si="17"/>
        <v>8510649.3899998069</v>
      </c>
      <c r="D132" s="10">
        <f t="shared" si="18"/>
        <v>184397.4</v>
      </c>
      <c r="E132" s="56">
        <f t="shared" si="15"/>
        <v>8695046.7899998073</v>
      </c>
      <c r="I132" s="13">
        <f t="shared" ca="1" si="21"/>
        <v>48196</v>
      </c>
    </row>
    <row r="133" spans="1:9" ht="15.75">
      <c r="A133" s="4"/>
      <c r="B133" s="12"/>
      <c r="C133" s="5">
        <f>SUM(C13:C132)</f>
        <v>369999999.99999994</v>
      </c>
      <c r="D133" s="5">
        <f>SUM(D13:D132)</f>
        <v>672727462.41999996</v>
      </c>
      <c r="E133" s="5">
        <f>SUM(E13:E132)</f>
        <v>1042727462.4200023</v>
      </c>
    </row>
    <row r="134" spans="1:9" ht="15" customHeight="1">
      <c r="A134" s="48"/>
      <c r="B134" s="50" t="s">
        <v>39</v>
      </c>
      <c r="C134" s="49"/>
      <c r="D134" s="49"/>
      <c r="E134" s="51">
        <f ca="1">ROUND(XIRR(E12:E132,I12:I132),3)</f>
        <v>0.29799999999999999</v>
      </c>
    </row>
  </sheetData>
  <sheetProtection formatRows="0"/>
  <mergeCells count="1">
    <mergeCell ref="A1:E1"/>
  </mergeCells>
  <dataValidations count="1">
    <dataValidation operator="lessThanOrEqual" allowBlank="1" showInputMessage="1" showErrorMessage="1" error="ДАТА НЕ ПОЗЖЕ ЗАВТРАШНЕЙ!" sqref="D3"/>
  </dataValidations>
  <printOptions horizontalCentered="1"/>
  <pageMargins left="0.70866141732283472" right="0.51181102362204722" top="0.55118110236220474" bottom="0.55118110236220474" header="0.31496062992125984" footer="0.31496062992125984"/>
  <pageSetup paperSize="9" fitToHeight="4" orientation="portrait" r:id="rId1"/>
  <headerFoot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tgbZero">
          <controlPr defaultSize="0" print="0" autoLine="0" r:id="rId5">
            <anchor moveWithCells="1">
              <from>
                <xdr:col>6</xdr:col>
                <xdr:colOff>9525</xdr:colOff>
                <xdr:row>10</xdr:row>
                <xdr:rowOff>0</xdr:rowOff>
              </from>
              <to>
                <xdr:col>7</xdr:col>
                <xdr:colOff>876300</xdr:colOff>
                <xdr:row>13</xdr:row>
                <xdr:rowOff>57150</xdr:rowOff>
              </to>
            </anchor>
          </controlPr>
        </control>
      </mc:Choice>
      <mc:Fallback>
        <control shapeId="2049" r:id="rId4" name="tgbZer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92D050"/>
    <pageSetUpPr fitToPage="1"/>
  </sheetPr>
  <dimension ref="A1:Q161"/>
  <sheetViews>
    <sheetView zoomScale="85" zoomScaleNormal="85" workbookViewId="0">
      <selection activeCell="B30" sqref="B30:C31"/>
    </sheetView>
  </sheetViews>
  <sheetFormatPr defaultColWidth="9.140625" defaultRowHeight="15.75"/>
  <cols>
    <col min="1" max="1" width="33.140625" style="9" customWidth="1"/>
    <col min="2" max="2" width="23.42578125" style="8" customWidth="1"/>
    <col min="3" max="3" width="31.5703125" style="7" customWidth="1"/>
    <col min="4" max="4" width="29" style="7" customWidth="1"/>
    <col min="5" max="5" width="7.42578125" style="23" customWidth="1"/>
    <col min="6" max="6" width="11.85546875" style="6" customWidth="1"/>
    <col min="7" max="7" width="9.140625" style="6"/>
    <col min="8" max="8" width="12.7109375" style="6" customWidth="1"/>
    <col min="9" max="9" width="9.140625" style="6"/>
    <col min="10" max="10" width="15.140625" style="6" customWidth="1"/>
    <col min="11" max="11" width="21.7109375" style="6" customWidth="1"/>
    <col min="12" max="12" width="19" style="6" customWidth="1"/>
    <col min="13" max="13" width="14.140625" style="6" customWidth="1"/>
    <col min="14" max="16384" width="9.140625" style="6"/>
  </cols>
  <sheetData>
    <row r="1" spans="1:4">
      <c r="A1" s="121" t="s">
        <v>37</v>
      </c>
      <c r="B1" s="121"/>
      <c r="C1" s="121"/>
      <c r="D1" s="47"/>
    </row>
    <row r="2" spans="1:4">
      <c r="A2" s="122" t="s">
        <v>36</v>
      </c>
      <c r="B2" s="122"/>
      <c r="C2" s="122"/>
      <c r="D2" s="46"/>
    </row>
    <row r="3" spans="1:4" ht="15.75" customHeight="1">
      <c r="A3" s="38" t="s">
        <v>35</v>
      </c>
      <c r="B3" s="116" t="s">
        <v>89</v>
      </c>
      <c r="C3" s="117"/>
      <c r="D3" s="34"/>
    </row>
    <row r="4" spans="1:4" ht="20.25" customHeight="1">
      <c r="A4" s="79" t="s">
        <v>90</v>
      </c>
      <c r="B4" s="116" t="s">
        <v>113</v>
      </c>
      <c r="C4" s="117"/>
      <c r="D4" s="34"/>
    </row>
    <row r="5" spans="1:4" ht="30.75" customHeight="1">
      <c r="A5" s="79" t="s">
        <v>108</v>
      </c>
      <c r="B5" s="116" t="s">
        <v>107</v>
      </c>
      <c r="C5" s="117"/>
      <c r="D5" s="34"/>
    </row>
    <row r="6" spans="1:4">
      <c r="A6" s="123" t="s">
        <v>34</v>
      </c>
      <c r="B6" s="123"/>
      <c r="C6" s="123"/>
      <c r="D6" s="31"/>
    </row>
    <row r="7" spans="1:4" ht="2.25" customHeight="1"/>
    <row r="8" spans="1:4">
      <c r="A8" s="89" t="s">
        <v>91</v>
      </c>
      <c r="B8" s="124" t="s">
        <v>92</v>
      </c>
      <c r="C8" s="124"/>
    </row>
    <row r="9" spans="1:4" ht="22.5" customHeight="1">
      <c r="A9" s="90" t="s">
        <v>93</v>
      </c>
      <c r="B9" s="109" t="s">
        <v>119</v>
      </c>
      <c r="C9" s="109"/>
      <c r="D9" s="45"/>
    </row>
    <row r="10" spans="1:4">
      <c r="A10" s="110" t="s">
        <v>33</v>
      </c>
      <c r="B10" s="112">
        <f>Рассчет!C16</f>
        <v>370000000</v>
      </c>
      <c r="C10" s="112"/>
      <c r="D10" s="120" t="s">
        <v>54</v>
      </c>
    </row>
    <row r="11" spans="1:4">
      <c r="A11" s="111"/>
      <c r="B11" s="112"/>
      <c r="C11" s="112"/>
      <c r="D11" s="120"/>
    </row>
    <row r="12" spans="1:4">
      <c r="A12" s="83" t="s">
        <v>32</v>
      </c>
      <c r="B12" s="113">
        <f>Рассчет!C20</f>
        <v>120</v>
      </c>
      <c r="C12" s="113"/>
      <c r="D12" s="34" t="s">
        <v>96</v>
      </c>
    </row>
    <row r="13" spans="1:4" ht="15.75" customHeight="1">
      <c r="A13" s="118" t="s">
        <v>31</v>
      </c>
      <c r="B13" s="57">
        <f>Рассчет!C18</f>
        <v>0.26</v>
      </c>
      <c r="C13" s="44">
        <f>График!D133</f>
        <v>672727462.41999996</v>
      </c>
      <c r="D13" s="43"/>
    </row>
    <row r="14" spans="1:4" ht="22.5" customHeight="1">
      <c r="A14" s="119"/>
      <c r="B14" s="42" t="s">
        <v>30</v>
      </c>
      <c r="C14" s="42" t="s">
        <v>29</v>
      </c>
      <c r="D14" s="41"/>
    </row>
    <row r="15" spans="1:4" ht="40.5" customHeight="1">
      <c r="A15" s="58" t="s">
        <v>94</v>
      </c>
      <c r="B15" s="114">
        <f>График!E133</f>
        <v>1042727462.4200023</v>
      </c>
      <c r="C15" s="115"/>
      <c r="D15" s="85"/>
    </row>
    <row r="16" spans="1:4" ht="35.25" customHeight="1">
      <c r="A16" s="86" t="s">
        <v>95</v>
      </c>
      <c r="B16" s="116">
        <f>Рассчет!C21</f>
        <v>1</v>
      </c>
      <c r="C16" s="117"/>
      <c r="D16" s="34" t="s">
        <v>96</v>
      </c>
    </row>
    <row r="17" spans="1:17">
      <c r="A17" s="83" t="s">
        <v>97</v>
      </c>
      <c r="B17" s="108" t="s">
        <v>27</v>
      </c>
      <c r="C17" s="108"/>
      <c r="D17" s="34" t="s">
        <v>55</v>
      </c>
    </row>
    <row r="18" spans="1:17" ht="15.75" customHeight="1">
      <c r="A18" s="83" t="s">
        <v>98</v>
      </c>
      <c r="B18" s="108" t="s">
        <v>38</v>
      </c>
      <c r="C18" s="108"/>
      <c r="D18" s="34"/>
    </row>
    <row r="19" spans="1:17" ht="31.5">
      <c r="A19" s="39" t="s">
        <v>26</v>
      </c>
      <c r="B19" s="108"/>
      <c r="C19" s="108"/>
      <c r="D19" s="34"/>
    </row>
    <row r="20" spans="1:17" ht="31.5">
      <c r="A20" s="83" t="s">
        <v>99</v>
      </c>
      <c r="B20" s="102" t="str">
        <f>CONCATENATE(График!I8, " сум")</f>
        <v>8695048,72 сум</v>
      </c>
      <c r="C20" s="102"/>
      <c r="D20" s="34"/>
    </row>
    <row r="21" spans="1:17" ht="31.5">
      <c r="A21" s="83" t="s">
        <v>100</v>
      </c>
      <c r="B21" s="102" t="s">
        <v>101</v>
      </c>
      <c r="C21" s="102"/>
      <c r="D21" s="34"/>
    </row>
    <row r="22" spans="1:17" ht="46.5" customHeight="1">
      <c r="A22" s="83" t="s">
        <v>102</v>
      </c>
      <c r="B22" s="107" t="str">
        <f>CONCATENATE(ROUND(B23+B25+B26++B27+B28+B29,3)," сум ",)</f>
        <v xml:space="preserve">4149000 сум </v>
      </c>
      <c r="C22" s="108"/>
      <c r="D22" s="32" t="s">
        <v>56</v>
      </c>
    </row>
    <row r="23" spans="1:17" ht="31.5">
      <c r="A23" s="83" t="s">
        <v>103</v>
      </c>
      <c r="B23" s="107">
        <v>0</v>
      </c>
      <c r="C23" s="108"/>
      <c r="D23" s="34" t="s">
        <v>53</v>
      </c>
    </row>
    <row r="24" spans="1:17" ht="31.5">
      <c r="A24" s="37" t="s">
        <v>104</v>
      </c>
      <c r="B24" s="36"/>
      <c r="C24" s="35"/>
      <c r="D24" s="34"/>
    </row>
    <row r="25" spans="1:17">
      <c r="A25" s="58" t="s">
        <v>25</v>
      </c>
      <c r="B25" s="107">
        <f>Рассчет!C32</f>
        <v>500000</v>
      </c>
      <c r="C25" s="108"/>
      <c r="D25" s="34"/>
    </row>
    <row r="26" spans="1:17" s="23" customFormat="1" ht="39.75" customHeight="1">
      <c r="A26" s="58" t="s">
        <v>24</v>
      </c>
      <c r="B26" s="107">
        <f>Рассчет!C28</f>
        <v>2312500</v>
      </c>
      <c r="C26" s="108"/>
      <c r="D26" s="32" t="s">
        <v>54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</row>
    <row r="27" spans="1:17" s="23" customFormat="1" ht="33" customHeight="1">
      <c r="A27" s="58" t="s">
        <v>50</v>
      </c>
      <c r="B27" s="107">
        <f>Рассчет!C29</f>
        <v>499000</v>
      </c>
      <c r="C27" s="108"/>
      <c r="D27" s="32" t="s">
        <v>54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17" s="23" customFormat="1" ht="63">
      <c r="A28" s="58" t="s">
        <v>51</v>
      </c>
      <c r="B28" s="107">
        <f>Рассчет!C30</f>
        <v>500000</v>
      </c>
      <c r="C28" s="108"/>
      <c r="D28" s="32" t="s">
        <v>54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17" s="23" customFormat="1" ht="23.1" customHeight="1">
      <c r="A29" s="58" t="s">
        <v>58</v>
      </c>
      <c r="B29" s="107">
        <f>Рассчет!C31</f>
        <v>337500</v>
      </c>
      <c r="C29" s="108"/>
      <c r="D29" s="32" t="s">
        <v>54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17" s="23" customFormat="1">
      <c r="A30" s="83" t="s">
        <v>105</v>
      </c>
      <c r="B30" s="131">
        <f ca="1">График!E134</f>
        <v>0.29799999999999999</v>
      </c>
      <c r="C30" s="131"/>
      <c r="D30" s="120" t="s">
        <v>59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17" s="23" customFormat="1" ht="15.75" customHeight="1">
      <c r="A31" s="40" t="s">
        <v>28</v>
      </c>
      <c r="B31" s="131"/>
      <c r="C31" s="131"/>
      <c r="D31" s="120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17" s="23" customFormat="1" ht="30.75" customHeight="1">
      <c r="A32" s="87" t="s">
        <v>106</v>
      </c>
      <c r="B32" s="129" t="s">
        <v>118</v>
      </c>
      <c r="C32" s="130"/>
      <c r="D32" s="7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1:17" s="23" customFormat="1" ht="46.5" customHeight="1">
      <c r="A33" s="126" t="s">
        <v>23</v>
      </c>
      <c r="B33" s="126"/>
      <c r="C33" s="126"/>
      <c r="D33" s="30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1:17" s="23" customFormat="1">
      <c r="A34" s="123" t="s">
        <v>22</v>
      </c>
      <c r="B34" s="123"/>
      <c r="C34" s="123"/>
      <c r="D34" s="31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1:17" s="23" customFormat="1">
      <c r="A35" s="33"/>
      <c r="B35" s="8"/>
      <c r="C35" s="7"/>
      <c r="D35" s="7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1:17" s="23" customFormat="1" ht="139.5" customHeight="1">
      <c r="A36" s="88" t="s">
        <v>21</v>
      </c>
      <c r="B36" s="128" t="s">
        <v>109</v>
      </c>
      <c r="C36" s="128"/>
      <c r="D36" s="32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  <row r="37" spans="1:17" s="23" customFormat="1" ht="47.25">
      <c r="A37" s="88" t="s">
        <v>20</v>
      </c>
      <c r="B37" s="127" t="str">
        <f>FIXED(Рассчет!C18*1.5*100)&amp;" процентов годовых"</f>
        <v>39,00 процентов годовых</v>
      </c>
      <c r="C37" s="127"/>
      <c r="D37" s="32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</row>
    <row r="38" spans="1:17" s="23" customFormat="1">
      <c r="A38" s="88" t="s">
        <v>19</v>
      </c>
      <c r="B38" s="102" t="s">
        <v>120</v>
      </c>
      <c r="C38" s="102"/>
      <c r="D38" s="32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</row>
    <row r="39" spans="1:17" s="23" customFormat="1" ht="79.5" customHeight="1">
      <c r="A39" s="94" t="s">
        <v>18</v>
      </c>
      <c r="B39" s="107">
        <f>Рассчет!C23</f>
        <v>500000000</v>
      </c>
      <c r="C39" s="108"/>
      <c r="D39" s="32" t="s">
        <v>54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</row>
    <row r="40" spans="1:17" s="23" customFormat="1" ht="33" customHeight="1">
      <c r="A40" s="125" t="s">
        <v>17</v>
      </c>
      <c r="B40" s="125"/>
      <c r="C40" s="125"/>
      <c r="D40" s="30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</row>
    <row r="42" spans="1:17" s="23" customFormat="1" ht="29.25" customHeight="1">
      <c r="A42" s="104" t="s">
        <v>110</v>
      </c>
      <c r="B42" s="104"/>
      <c r="C42" s="104"/>
      <c r="D42" s="30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</row>
    <row r="43" spans="1:17" s="23" customFormat="1" ht="79.5" customHeight="1">
      <c r="A43" s="103" t="s">
        <v>111</v>
      </c>
      <c r="B43" s="103"/>
      <c r="C43" s="103"/>
      <c r="D43" s="30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</row>
    <row r="44" spans="1:17" s="23" customFormat="1" ht="50.25" customHeight="1">
      <c r="A44" s="98" t="s">
        <v>112</v>
      </c>
      <c r="B44" s="98"/>
      <c r="C44" s="98"/>
      <c r="D44" s="30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</row>
    <row r="45" spans="1:17" ht="40.5" customHeight="1">
      <c r="A45" s="99" t="s">
        <v>114</v>
      </c>
      <c r="B45" s="100"/>
    </row>
    <row r="46" spans="1:17" ht="27" customHeight="1">
      <c r="A46" s="100"/>
      <c r="B46" s="100"/>
    </row>
    <row r="47" spans="1:17" ht="15.75" customHeight="1">
      <c r="A47" s="106" t="s">
        <v>121</v>
      </c>
      <c r="B47" s="106"/>
      <c r="C47" s="93"/>
    </row>
    <row r="48" spans="1:17" ht="25.5" customHeight="1">
      <c r="A48" s="105" t="s">
        <v>115</v>
      </c>
      <c r="B48" s="105"/>
      <c r="C48" s="92" t="s">
        <v>116</v>
      </c>
    </row>
    <row r="50" spans="1:3" ht="30.75" customHeight="1">
      <c r="A50" s="101" t="s">
        <v>117</v>
      </c>
      <c r="B50" s="101"/>
      <c r="C50" s="101"/>
    </row>
    <row r="51" spans="1:3">
      <c r="C51" s="91"/>
    </row>
    <row r="110" spans="2:6">
      <c r="B110" s="25"/>
      <c r="C110" s="28"/>
      <c r="D110" s="29"/>
    </row>
    <row r="111" spans="2:6">
      <c r="B111" s="25"/>
      <c r="C111" s="28"/>
      <c r="D111" s="14"/>
      <c r="F111" s="24"/>
    </row>
    <row r="112" spans="2:6">
      <c r="B112" s="25"/>
      <c r="C112" s="28"/>
      <c r="D112" s="14"/>
      <c r="F112" s="24"/>
    </row>
    <row r="113" spans="2:6">
      <c r="B113" s="25"/>
      <c r="C113" s="28"/>
      <c r="D113" s="14"/>
      <c r="F113" s="24"/>
    </row>
    <row r="114" spans="2:6">
      <c r="B114" s="25"/>
      <c r="C114" s="28"/>
      <c r="D114" s="14"/>
      <c r="F114" s="24"/>
    </row>
    <row r="115" spans="2:6">
      <c r="B115" s="25"/>
      <c r="C115" s="28"/>
      <c r="D115" s="14"/>
      <c r="F115" s="24"/>
    </row>
    <row r="116" spans="2:6">
      <c r="B116" s="25"/>
      <c r="C116" s="28"/>
      <c r="D116" s="14"/>
      <c r="F116" s="24"/>
    </row>
    <row r="117" spans="2:6">
      <c r="B117" s="25"/>
      <c r="C117" s="28"/>
      <c r="D117" s="14"/>
      <c r="F117" s="24"/>
    </row>
    <row r="118" spans="2:6">
      <c r="B118" s="25"/>
      <c r="C118" s="14"/>
      <c r="D118" s="27"/>
      <c r="F118" s="24"/>
    </row>
    <row r="119" spans="2:6">
      <c r="B119" s="25"/>
      <c r="C119" s="14"/>
      <c r="D119" s="14"/>
      <c r="F119" s="24"/>
    </row>
    <row r="120" spans="2:6">
      <c r="B120" s="25"/>
      <c r="C120" s="14"/>
      <c r="D120" s="14"/>
      <c r="F120" s="24"/>
    </row>
    <row r="121" spans="2:6">
      <c r="B121" s="25"/>
      <c r="C121" s="26"/>
      <c r="D121" s="14"/>
      <c r="F121" s="24"/>
    </row>
    <row r="122" spans="2:6">
      <c r="B122" s="25"/>
      <c r="C122" s="14"/>
      <c r="D122" s="14"/>
      <c r="F122" s="24"/>
    </row>
    <row r="123" spans="2:6">
      <c r="B123" s="25"/>
      <c r="C123" s="14"/>
      <c r="D123" s="14"/>
      <c r="F123" s="24"/>
    </row>
    <row r="124" spans="2:6">
      <c r="B124" s="25"/>
      <c r="C124" s="14"/>
      <c r="D124" s="14"/>
      <c r="F124" s="24"/>
    </row>
    <row r="125" spans="2:6">
      <c r="B125" s="25"/>
      <c r="C125" s="14"/>
      <c r="D125" s="14"/>
      <c r="F125" s="24"/>
    </row>
    <row r="126" spans="2:6">
      <c r="B126" s="25"/>
      <c r="C126" s="14"/>
      <c r="D126" s="14"/>
      <c r="F126" s="24"/>
    </row>
    <row r="127" spans="2:6">
      <c r="B127" s="25"/>
      <c r="C127" s="14"/>
      <c r="D127" s="14"/>
      <c r="F127" s="24"/>
    </row>
    <row r="128" spans="2:6">
      <c r="B128" s="25"/>
      <c r="C128" s="14"/>
      <c r="D128" s="14"/>
      <c r="F128" s="24"/>
    </row>
    <row r="129" spans="2:6">
      <c r="B129" s="25"/>
      <c r="C129" s="14"/>
      <c r="D129" s="14"/>
      <c r="F129" s="24"/>
    </row>
    <row r="130" spans="2:6">
      <c r="B130" s="25"/>
      <c r="C130" s="14"/>
      <c r="D130" s="14"/>
      <c r="F130" s="24"/>
    </row>
    <row r="131" spans="2:6">
      <c r="B131" s="25"/>
      <c r="C131" s="14"/>
      <c r="D131" s="14"/>
      <c r="F131" s="24"/>
    </row>
    <row r="132" spans="2:6">
      <c r="B132" s="25"/>
      <c r="C132" s="14"/>
      <c r="D132" s="14"/>
      <c r="F132" s="24"/>
    </row>
    <row r="133" spans="2:6">
      <c r="B133" s="25"/>
      <c r="C133" s="14"/>
      <c r="D133" s="14"/>
      <c r="F133" s="24"/>
    </row>
    <row r="134" spans="2:6">
      <c r="B134" s="25"/>
      <c r="C134" s="14"/>
      <c r="D134" s="14"/>
      <c r="F134" s="24"/>
    </row>
    <row r="135" spans="2:6">
      <c r="B135" s="25"/>
      <c r="C135" s="14"/>
      <c r="D135" s="14"/>
      <c r="F135" s="24"/>
    </row>
    <row r="136" spans="2:6">
      <c r="B136" s="25"/>
      <c r="C136" s="14"/>
      <c r="D136" s="14"/>
      <c r="F136" s="24"/>
    </row>
    <row r="137" spans="2:6">
      <c r="B137" s="25"/>
      <c r="C137" s="14"/>
      <c r="D137" s="14"/>
      <c r="F137" s="24"/>
    </row>
    <row r="138" spans="2:6">
      <c r="B138" s="25"/>
      <c r="C138" s="14"/>
      <c r="D138" s="14"/>
      <c r="F138" s="24"/>
    </row>
    <row r="139" spans="2:6">
      <c r="B139" s="25"/>
      <c r="C139" s="14"/>
      <c r="D139" s="14"/>
      <c r="F139" s="24"/>
    </row>
    <row r="140" spans="2:6">
      <c r="B140" s="25"/>
      <c r="C140" s="14"/>
      <c r="D140" s="14"/>
      <c r="F140" s="24"/>
    </row>
    <row r="141" spans="2:6">
      <c r="B141" s="25"/>
      <c r="C141" s="14"/>
      <c r="D141" s="14"/>
      <c r="F141" s="24"/>
    </row>
    <row r="142" spans="2:6">
      <c r="B142" s="25"/>
      <c r="C142" s="14"/>
      <c r="D142" s="14"/>
      <c r="F142" s="24"/>
    </row>
    <row r="143" spans="2:6">
      <c r="B143" s="25"/>
      <c r="C143" s="14"/>
      <c r="D143" s="14"/>
      <c r="F143" s="24"/>
    </row>
    <row r="144" spans="2:6">
      <c r="B144" s="25"/>
      <c r="C144" s="14"/>
      <c r="D144" s="14"/>
      <c r="F144" s="24"/>
    </row>
    <row r="145" spans="2:6">
      <c r="B145" s="25"/>
      <c r="C145" s="14"/>
      <c r="D145" s="14"/>
      <c r="F145" s="24"/>
    </row>
    <row r="146" spans="2:6">
      <c r="B146" s="25"/>
      <c r="C146" s="14"/>
      <c r="D146" s="14"/>
      <c r="F146" s="24"/>
    </row>
    <row r="147" spans="2:6">
      <c r="B147" s="25"/>
      <c r="C147" s="14"/>
      <c r="D147" s="14"/>
      <c r="F147" s="24"/>
    </row>
    <row r="148" spans="2:6">
      <c r="B148" s="25"/>
      <c r="C148" s="14"/>
      <c r="D148" s="14"/>
      <c r="F148" s="24"/>
    </row>
    <row r="149" spans="2:6">
      <c r="B149" s="25"/>
      <c r="C149" s="14"/>
      <c r="D149" s="14"/>
      <c r="F149" s="24"/>
    </row>
    <row r="150" spans="2:6">
      <c r="B150" s="25"/>
      <c r="C150" s="14"/>
      <c r="D150" s="14"/>
      <c r="F150" s="24"/>
    </row>
    <row r="151" spans="2:6">
      <c r="B151" s="25"/>
      <c r="C151" s="14"/>
      <c r="D151" s="14"/>
      <c r="F151" s="24"/>
    </row>
    <row r="152" spans="2:6">
      <c r="B152" s="25"/>
      <c r="C152" s="14"/>
      <c r="D152" s="14"/>
      <c r="F152" s="24"/>
    </row>
    <row r="153" spans="2:6">
      <c r="B153" s="25"/>
      <c r="C153" s="14"/>
      <c r="D153" s="14"/>
      <c r="F153" s="24"/>
    </row>
    <row r="154" spans="2:6">
      <c r="B154" s="25"/>
      <c r="C154" s="14"/>
      <c r="D154" s="14"/>
      <c r="F154" s="24"/>
    </row>
    <row r="155" spans="2:6">
      <c r="B155" s="25"/>
      <c r="C155" s="14"/>
      <c r="D155" s="14"/>
      <c r="F155" s="24"/>
    </row>
    <row r="156" spans="2:6">
      <c r="B156" s="25"/>
      <c r="C156" s="14"/>
      <c r="D156" s="14"/>
      <c r="F156" s="24"/>
    </row>
    <row r="157" spans="2:6">
      <c r="B157" s="25"/>
      <c r="C157" s="14"/>
      <c r="D157" s="14"/>
      <c r="F157" s="24"/>
    </row>
    <row r="158" spans="2:6">
      <c r="B158" s="25"/>
      <c r="C158" s="14"/>
      <c r="D158" s="14"/>
      <c r="F158" s="24"/>
    </row>
    <row r="159" spans="2:6">
      <c r="B159" s="25"/>
      <c r="C159" s="14"/>
      <c r="D159" s="14"/>
      <c r="F159" s="24"/>
    </row>
    <row r="160" spans="2:6">
      <c r="B160" s="25"/>
      <c r="C160" s="14"/>
      <c r="D160" s="14"/>
      <c r="F160" s="24"/>
    </row>
    <row r="161" spans="2:6">
      <c r="B161" s="25"/>
      <c r="C161" s="14"/>
      <c r="D161" s="14"/>
      <c r="F161" s="24"/>
    </row>
  </sheetData>
  <sheetProtection selectLockedCells="1"/>
  <mergeCells count="43">
    <mergeCell ref="D30:D31"/>
    <mergeCell ref="B25:C25"/>
    <mergeCell ref="A40:C40"/>
    <mergeCell ref="B26:C26"/>
    <mergeCell ref="A33:C33"/>
    <mergeCell ref="A34:C34"/>
    <mergeCell ref="B27:C27"/>
    <mergeCell ref="B37:C37"/>
    <mergeCell ref="B36:C36"/>
    <mergeCell ref="B29:C29"/>
    <mergeCell ref="B39:C39"/>
    <mergeCell ref="B32:C32"/>
    <mergeCell ref="B30:C31"/>
    <mergeCell ref="B28:C28"/>
    <mergeCell ref="D10:D11"/>
    <mergeCell ref="A1:C1"/>
    <mergeCell ref="A2:C2"/>
    <mergeCell ref="B3:C3"/>
    <mergeCell ref="A6:C6"/>
    <mergeCell ref="B4:C4"/>
    <mergeCell ref="B5:C5"/>
    <mergeCell ref="B8:C8"/>
    <mergeCell ref="B23:C23"/>
    <mergeCell ref="B9:C9"/>
    <mergeCell ref="A10:A11"/>
    <mergeCell ref="B10:C11"/>
    <mergeCell ref="B22:C22"/>
    <mergeCell ref="B12:C12"/>
    <mergeCell ref="B17:C17"/>
    <mergeCell ref="B18:C19"/>
    <mergeCell ref="B20:C20"/>
    <mergeCell ref="B15:C15"/>
    <mergeCell ref="B16:C16"/>
    <mergeCell ref="B21:C21"/>
    <mergeCell ref="A13:A14"/>
    <mergeCell ref="A44:C44"/>
    <mergeCell ref="A45:B46"/>
    <mergeCell ref="A50:C50"/>
    <mergeCell ref="B38:C38"/>
    <mergeCell ref="A43:C43"/>
    <mergeCell ref="A42:C42"/>
    <mergeCell ref="A48:B48"/>
    <mergeCell ref="A47:B47"/>
  </mergeCells>
  <printOptions horizontalCentered="1"/>
  <pageMargins left="0.6692913385826772" right="0.47244094488188981" top="0.61" bottom="0.55118110236220474" header="0.31496062992125984" footer="0.31496062992125984"/>
  <pageSetup paperSize="9" fitToHeight="3" orientation="portrait" r:id="rId1"/>
  <rowBreaks count="1" manualBreakCount="1">
    <brk id="40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Рассчет</vt:lpstr>
      <vt:lpstr>График</vt:lpstr>
      <vt:lpstr>Информационный лист</vt:lpstr>
      <vt:lpstr>График!Область_печати</vt:lpstr>
      <vt:lpstr>'Информационный лист'!Область_печати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Diana Gosyan</cp:lastModifiedBy>
  <cp:lastPrinted>2021-12-07T10:58:33Z</cp:lastPrinted>
  <dcterms:created xsi:type="dcterms:W3CDTF">1996-10-08T23:32:33Z</dcterms:created>
  <dcterms:modified xsi:type="dcterms:W3CDTF">2021-12-15T12:32:20Z</dcterms:modified>
</cp:coreProperties>
</file>